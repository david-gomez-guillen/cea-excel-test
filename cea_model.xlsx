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drawings/drawing2.xml" ContentType="application/vnd.openxmlformats-officedocument.drawing+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How it works" sheetId="2" state="visible" r:id="rId2"/>
    <sheet name="Inputs" sheetId="3" state="visible" r:id="rId3"/>
    <sheet name="Trace 1" sheetId="4" state="visible" r:id="rId4"/>
    <sheet name="Trace 2" sheetId="5" state="visible" r:id="rId5"/>
    <sheet name="Trace 3" sheetId="6" state="visible" r:id="rId6"/>
    <sheet name="Transition matrix" sheetId="7" state="visible" r:id="rId7"/>
    <sheet name="Results" sheetId="8" state="visible" r:id="rId8"/>
    <sheet name="Charts" sheetId="9" state="visible" r:id="rId9"/>
    <sheet name="Interface" sheetId="10" state="visible" r:id="rId10"/>
  </sheets>
  <definedNames>
    <definedName name="cohort_size">'Inputs'!$B$6</definedName>
    <definedName name="start_age">'Inputs'!$B$7</definedName>
    <definedName name="p_detect_symptoms">'Inputs'!$B$11</definedName>
    <definedName name="p_progression">'Inputs'!$B$12</definedName>
    <definedName name="p_cure_early">'Inputs'!$B$13</definedName>
    <definedName name="p_death_advanced">'Inputs'!$B$14</definedName>
    <definedName name="screen_participation">'Inputs'!$B$18</definedName>
    <definedName name="screen_sensitivity">'Inputs'!$B$19</definedName>
    <definedName name="screen_specificity">'Inputs'!$B$20</definedName>
    <definedName name="cost_screen_test">'Inputs'!$B$24</definedName>
    <definedName name="cost_followup_test">'Inputs'!$B$25</definedName>
    <definedName name="cost_early_treatment">'Inputs'!$B$26</definedName>
    <definedName name="cost_advanced_year">'Inputs'!$B$27</definedName>
    <definedName name="u_healthy">'Inputs'!$B$31</definedName>
    <definedName name="u_early">'Inputs'!$B$32</definedName>
    <definedName name="u_advanced">'Inputs'!$B$33</definedName>
    <definedName name="disc_costs">'Inputs'!$B$37</definedName>
    <definedName name="disc_effects">'Inputs'!$B$38</definedName>
    <definedName name="wtp">'Inputs'!$B$39</definedName>
    <definedName name="age_band_label">'Inputs'!$A$43:$A$54</definedName>
    <definedName name="age_band_start">'Inputs'!$B$43:$B$54</definedName>
    <definedName name="p_background_death">'Inputs'!$C$43:$C$54</definedName>
    <definedName name="p_cancer_onset">'Inputs'!$D$43:$D$54</definedName>
    <definedName name="strategy_name">'Inputs'!$A$59:$A$61</definedName>
    <definedName name="strategy_screens">'Inputs'!$C$59:$C$61</definedName>
    <definedName name="strategy_first_age">'Inputs'!$D$59:$D$61</definedName>
    <definedName name="strategy_last_age">'Inputs'!$E$59:$E$61</definedName>
    <definedName name="strategy_description">'Inputs'!$F$59:$F$61</definedName>
    <definedName name="input_check">'Inputs'!$B$3</definedName>
    <definedName name="out_check">'Results'!$B$3</definedName>
    <definedName name="out_strategy">'Results'!$B$8:$B$10</definedName>
    <definedName name="out_cost">'Results'!$C$8:$C$10</definedName>
    <definedName name="out_qalys">'Results'!$D$8:$D$10</definedName>
    <definedName name="out_life_years">'Results'!$E$8:$E$10</definedName>
    <definedName name="out_life_years_undiscounted">'Results'!$F$8:$F$10</definedName>
    <definedName name="out_nmb">'Results'!$G$8:$G$10</definedName>
    <definedName name="out_best">'Results'!$B$4</definedName>
    <definedName name="out_icer_vs_first">'Results'!$F$14:$F$16</definedName>
    <definedName name="out_frontier_strategy">'Results'!$B$20:$B$22</definedName>
    <definedName name="out_frontier_status">'Results'!$E$20:$E$22</definedName>
    <definedName name="out_frontier_icer">'Results'!$I$20:$I$22</definedName>
    <definedName name="out_cancer_deaths">'Results'!$G$33:$G$35</definedName>
    <definedName name="out_diagnoses">'Results'!$D$33:$E$35</definedName>
    <definedName name="out_incidence">'Results'!$C$40:$E$51</definedName>
  </definedNames>
  <calcPr calcId="124519" fullCalcOnLoad="1"/>
</workbook>
</file>

<file path=xl/styles.xml><?xml version="1.0" encoding="utf-8"?>
<styleSheet xmlns="http://schemas.openxmlformats.org/spreadsheetml/2006/main">
  <numFmts count="8">
    <numFmt numFmtId="164" formatCode="0.0%"/>
    <numFmt numFmtId="165" formatCode="&quot;€&quot;#,##0"/>
    <numFmt numFmtId="166" formatCode="0.000%"/>
    <numFmt numFmtId="167" formatCode="#,##0.0"/>
    <numFmt numFmtId="168" formatCode="0.00000"/>
    <numFmt numFmtId="169" formatCode="0.0000"/>
    <numFmt numFmtId="170" formatCode="&quot;€&quot;#,##0.00"/>
    <numFmt numFmtId="171" formatCode="0.0"/>
  </numFmts>
  <fonts count="15">
    <font>
      <name val="Calibri"/>
      <family val="2"/>
      <color theme="1"/>
      <sz val="11"/>
      <scheme val="minor"/>
    </font>
    <font>
      <name val="Arial"/>
      <b val="1"/>
      <color rgb="001F4E79"/>
      <sz val="18"/>
    </font>
    <font>
      <name val="Arial"/>
      <i val="1"/>
      <color rgb="00C00000"/>
      <sz val="10"/>
    </font>
    <font>
      <name val="Arial"/>
      <b val="1"/>
      <color rgb="001F4E79"/>
      <sz val="13"/>
    </font>
    <font>
      <name val="Arial"/>
      <color rgb="00000000"/>
      <sz val="10"/>
    </font>
    <font>
      <name val="Arial"/>
      <b val="1"/>
      <color rgb="00000000"/>
      <sz val="10"/>
    </font>
    <font>
      <name val="Arial"/>
      <color rgb="000000FF"/>
      <sz val="10"/>
    </font>
    <font>
      <name val="Arial"/>
      <color rgb="00008000"/>
      <sz val="10"/>
    </font>
    <font>
      <name val="Arial"/>
      <i val="1"/>
      <color rgb="00000000"/>
      <sz val="10"/>
    </font>
    <font>
      <name val="Arial"/>
      <b val="1"/>
      <color rgb="001F4E79"/>
      <sz val="16"/>
    </font>
    <font>
      <name val="Arial"/>
      <b val="1"/>
      <color rgb="001F4E79"/>
      <sz val="11"/>
    </font>
    <font>
      <name val="Arial"/>
      <b val="1"/>
      <color rgb="00FFFFFF"/>
      <sz val="10"/>
    </font>
    <font>
      <name val="Arial"/>
      <color rgb="00808080"/>
      <sz val="10"/>
    </font>
    <font>
      <name val="Arial"/>
      <i val="1"/>
      <color rgb="00808080"/>
      <sz val="10"/>
    </font>
    <font>
      <name val="Arial"/>
      <b val="1"/>
      <color rgb="001F4E79"/>
      <sz val="10"/>
    </font>
  </fonts>
  <fills count="15">
    <fill>
      <patternFill/>
    </fill>
    <fill>
      <patternFill patternType="gray125"/>
    </fill>
    <fill>
      <patternFill patternType="solid">
        <fgColor rgb="00FFF2CC"/>
      </patternFill>
    </fill>
    <fill>
      <patternFill patternType="solid">
        <fgColor rgb="00E2EFDA"/>
      </patternFill>
    </fill>
    <fill>
      <patternFill patternType="solid">
        <fgColor rgb="00D9E1F2"/>
      </patternFill>
    </fill>
    <fill>
      <patternFill patternType="solid">
        <fgColor rgb="001F4E79"/>
      </patternFill>
    </fill>
    <fill>
      <patternFill patternType="solid">
        <fgColor rgb="00D9D9D9"/>
      </patternFill>
    </fill>
    <fill>
      <patternFill patternType="solid">
        <fgColor rgb="00DDEBF7"/>
      </patternFill>
    </fill>
    <fill>
      <patternFill patternType="solid">
        <fgColor rgb="00FCE4D6"/>
      </patternFill>
    </fill>
    <fill>
      <patternFill patternType="solid">
        <fgColor rgb="00EDE2F6"/>
      </patternFill>
    </fill>
    <fill>
      <patternFill patternType="solid">
        <fgColor rgb="00FBE5D6"/>
      </patternFill>
    </fill>
    <fill>
      <patternFill patternType="solid">
        <fgColor rgb="00DEEAF6"/>
      </patternFill>
    </fill>
    <fill>
      <patternFill patternType="solid">
        <fgColor rgb="00EDEDED"/>
      </patternFill>
    </fill>
    <fill>
      <patternFill patternType="solid">
        <fgColor rgb="00C6E0B4"/>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164" fontId="6" fillId="2" borderId="1" pivotButton="0" quotePrefix="0" xfId="0"/>
    <xf numFmtId="0" fontId="4" fillId="0" borderId="0" pivotButton="0" quotePrefix="0" xfId="0"/>
    <xf numFmtId="164" fontId="4" fillId="0" borderId="1" pivotButton="0" quotePrefix="0" xfId="0"/>
    <xf numFmtId="164" fontId="7" fillId="0" borderId="1" pivotButton="0" quotePrefix="0" xfId="0"/>
    <xf numFmtId="0" fontId="4" fillId="3" borderId="1" applyAlignment="1" pivotButton="0" quotePrefix="0" xfId="0">
      <alignment horizontal="center"/>
    </xf>
    <xf numFmtId="0" fontId="8" fillId="0" borderId="0" applyAlignment="1" pivotButton="0" quotePrefix="0" xfId="0">
      <alignment vertical="top" wrapText="1"/>
    </xf>
    <xf numFmtId="0" fontId="9" fillId="0" borderId="0" pivotButton="0" quotePrefix="0" xfId="0"/>
    <xf numFmtId="0" fontId="8" fillId="0" borderId="0" pivotButton="0" quotePrefix="0" xfId="0"/>
    <xf numFmtId="0" fontId="5" fillId="0" borderId="0" pivotButton="0" quotePrefix="0" xfId="0"/>
    <xf numFmtId="0" fontId="5" fillId="3" borderId="0" applyAlignment="1" pivotButton="0" quotePrefix="0" xfId="0">
      <alignment horizontal="center"/>
    </xf>
    <xf numFmtId="0" fontId="13" fillId="0" borderId="0" pivotButton="0" quotePrefix="0" xfId="0"/>
    <xf numFmtId="0" fontId="10" fillId="4" borderId="0" pivotButton="0" quotePrefix="0" xfId="0"/>
    <xf numFmtId="0" fontId="0" fillId="4" borderId="0" pivotButton="0" quotePrefix="0" xfId="0"/>
    <xf numFmtId="0" fontId="11" fillId="5" borderId="1" applyAlignment="1" pivotButton="0" quotePrefix="0" xfId="0">
      <alignment horizontal="center" vertical="center" wrapText="1"/>
    </xf>
    <xf numFmtId="3" fontId="6" fillId="2" borderId="1" pivotButton="0" quotePrefix="0" xfId="0"/>
    <xf numFmtId="0" fontId="12" fillId="0" borderId="0" pivotButton="0" quotePrefix="0" xfId="0"/>
    <xf numFmtId="3" fontId="12" fillId="0" borderId="0" pivotButton="0" quotePrefix="0" xfId="0"/>
    <xf numFmtId="1" fontId="6" fillId="2" borderId="1" pivotButton="0" quotePrefix="0" xfId="0"/>
    <xf numFmtId="1" fontId="12" fillId="0" borderId="0" pivotButton="0" quotePrefix="0" xfId="0"/>
    <xf numFmtId="164" fontId="12" fillId="0" borderId="0" pivotButton="0" quotePrefix="0" xfId="0"/>
    <xf numFmtId="165" fontId="6" fillId="2" borderId="1" pivotButton="0" quotePrefix="0" xfId="0"/>
    <xf numFmtId="165" fontId="12" fillId="0" borderId="0" pivotButton="0" quotePrefix="0" xfId="0"/>
    <xf numFmtId="2" fontId="6" fillId="2" borderId="1" pivotButton="0" quotePrefix="0" xfId="0"/>
    <xf numFmtId="2" fontId="12" fillId="0" borderId="0" pivotButton="0" quotePrefix="0" xfId="0"/>
    <xf numFmtId="0" fontId="4" fillId="0" borderId="1" pivotButton="0" quotePrefix="0" xfId="0"/>
    <xf numFmtId="10" fontId="6" fillId="2" borderId="1" pivotButton="0" quotePrefix="0" xfId="0"/>
    <xf numFmtId="166" fontId="6" fillId="2" borderId="1" pivotButton="0" quotePrefix="0" xfId="0"/>
    <xf numFmtId="10" fontId="12" fillId="0" borderId="0" pivotButton="0" quotePrefix="0" xfId="0"/>
    <xf numFmtId="166" fontId="12" fillId="0" borderId="0" applyAlignment="1" pivotButton="0" quotePrefix="0" xfId="0">
      <alignment horizontal="left"/>
    </xf>
    <xf numFmtId="0" fontId="6" fillId="2" borderId="1" pivotButton="0" quotePrefix="0" xfId="0"/>
    <xf numFmtId="0" fontId="4" fillId="0" borderId="1" applyAlignment="1" pivotButton="0" quotePrefix="0" xfId="0">
      <alignment horizontal="center"/>
    </xf>
    <xf numFmtId="0" fontId="5" fillId="0" borderId="0" applyAlignment="1" pivotButton="0" quotePrefix="0" xfId="0">
      <alignment horizontal="center"/>
    </xf>
    <xf numFmtId="0" fontId="7" fillId="0" borderId="0" applyAlignment="1" pivotButton="0" quotePrefix="0" xfId="0">
      <alignment horizontal="center"/>
    </xf>
    <xf numFmtId="0" fontId="14" fillId="6" borderId="1" applyAlignment="1" pivotButton="0" quotePrefix="0" xfId="0">
      <alignment horizontal="center" vertical="center" wrapText="1"/>
    </xf>
    <xf numFmtId="0" fontId="0" fillId="6" borderId="1" pivotButton="0" quotePrefix="0" xfId="0"/>
    <xf numFmtId="0" fontId="14" fillId="7" borderId="1" applyAlignment="1" pivotButton="0" quotePrefix="0" xfId="0">
      <alignment horizontal="center" vertical="center" wrapText="1"/>
    </xf>
    <xf numFmtId="0" fontId="0" fillId="7" borderId="1" pivotButton="0" quotePrefix="0" xfId="0"/>
    <xf numFmtId="0" fontId="14" fillId="8" borderId="1" applyAlignment="1" pivotButton="0" quotePrefix="0" xfId="0">
      <alignment horizontal="center" vertical="center" wrapText="1"/>
    </xf>
    <xf numFmtId="0" fontId="0" fillId="8" borderId="1" pivotButton="0" quotePrefix="0" xfId="0"/>
    <xf numFmtId="0" fontId="14" fillId="3" borderId="1" applyAlignment="1" pivotButton="0" quotePrefix="0" xfId="0">
      <alignment horizontal="center" vertical="center" wrapText="1"/>
    </xf>
    <xf numFmtId="0" fontId="0" fillId="3" borderId="1" pivotButton="0" quotePrefix="0" xfId="0"/>
    <xf numFmtId="0" fontId="14" fillId="2" borderId="1" applyAlignment="1" pivotButton="0" quotePrefix="0" xfId="0">
      <alignment horizontal="center" vertical="center" wrapText="1"/>
    </xf>
    <xf numFmtId="0" fontId="0" fillId="2" borderId="1" pivotButton="0" quotePrefix="0" xfId="0"/>
    <xf numFmtId="0" fontId="14" fillId="9" borderId="1" applyAlignment="1" pivotButton="0" quotePrefix="0" xfId="0">
      <alignment horizontal="center" vertical="center" wrapText="1"/>
    </xf>
    <xf numFmtId="0" fontId="0" fillId="9" borderId="1" pivotButton="0" quotePrefix="0" xfId="0"/>
    <xf numFmtId="0" fontId="14" fillId="10" borderId="1" applyAlignment="1" pivotButton="0" quotePrefix="0" xfId="0">
      <alignment horizontal="center" vertical="center" wrapText="1"/>
    </xf>
    <xf numFmtId="0" fontId="0" fillId="10" borderId="1" pivotButton="0" quotePrefix="0" xfId="0"/>
    <xf numFmtId="0" fontId="14" fillId="11" borderId="1" applyAlignment="1" pivotButton="0" quotePrefix="0" xfId="0">
      <alignment horizontal="center" vertical="center" wrapText="1"/>
    </xf>
    <xf numFmtId="0" fontId="0" fillId="11" borderId="1" pivotButton="0" quotePrefix="0" xfId="0"/>
    <xf numFmtId="0" fontId="14" fillId="12" borderId="1" applyAlignment="1" pivotButton="0" quotePrefix="0" xfId="0">
      <alignment horizontal="center" vertical="center" wrapText="1"/>
    </xf>
    <xf numFmtId="0" fontId="0" fillId="12" borderId="1" pivotButton="0" quotePrefix="0" xfId="0"/>
    <xf numFmtId="0" fontId="14" fillId="13" borderId="1" applyAlignment="1" pivotButton="0" quotePrefix="0" xfId="0">
      <alignment horizontal="center" vertical="center" wrapText="1"/>
    </xf>
    <xf numFmtId="0" fontId="0" fillId="13" borderId="1" pivotButton="0" quotePrefix="0" xfId="0"/>
    <xf numFmtId="0" fontId="5" fillId="14" borderId="1" pivotButton="0" quotePrefix="0" xfId="0"/>
    <xf numFmtId="0" fontId="0" fillId="14" borderId="1" pivotButton="0" quotePrefix="0" xfId="0"/>
    <xf numFmtId="167" fontId="5" fillId="14" borderId="1" pivotButton="0" quotePrefix="0" xfId="0"/>
    <xf numFmtId="165" fontId="5" fillId="14" borderId="1" pivotButton="0" quotePrefix="0" xfId="0"/>
    <xf numFmtId="1" fontId="4" fillId="0" borderId="0" applyAlignment="1" pivotButton="0" quotePrefix="0" xfId="0">
      <alignment horizontal="center"/>
    </xf>
    <xf numFmtId="0" fontId="4" fillId="0" borderId="0" applyAlignment="1" pivotButton="0" quotePrefix="0" xfId="0">
      <alignment horizontal="center"/>
    </xf>
    <xf numFmtId="168" fontId="4" fillId="0" borderId="0" pivotButton="0" quotePrefix="0" xfId="0"/>
    <xf numFmtId="164" fontId="4" fillId="0" borderId="0" pivotButton="0" quotePrefix="0" xfId="0"/>
    <xf numFmtId="167" fontId="4" fillId="0" borderId="0" pivotButton="0" quotePrefix="0" xfId="0"/>
    <xf numFmtId="165" fontId="4" fillId="0" borderId="0" pivotButton="0" quotePrefix="0" xfId="0"/>
    <xf numFmtId="169" fontId="4" fillId="0" borderId="0" pivotButton="0" quotePrefix="0" xfId="0"/>
    <xf numFmtId="0" fontId="7" fillId="0" borderId="0" pivotButton="0" quotePrefix="0" xfId="0"/>
    <xf numFmtId="0" fontId="5" fillId="0" borderId="1" pivotButton="0" quotePrefix="0" xfId="0"/>
    <xf numFmtId="168" fontId="7" fillId="0" borderId="1" pivotButton="0" quotePrefix="0" xfId="0"/>
    <xf numFmtId="168" fontId="12" fillId="0" borderId="1" pivotButton="0" quotePrefix="0" xfId="0"/>
    <xf numFmtId="169" fontId="5" fillId="0" borderId="1" pivotButton="0" quotePrefix="0" xfId="0"/>
    <xf numFmtId="168" fontId="4" fillId="0" borderId="1" pivotButton="0" quotePrefix="0" xfId="0"/>
    <xf numFmtId="167" fontId="7" fillId="0" borderId="1" pivotButton="0" quotePrefix="0" xfId="0"/>
    <xf numFmtId="167" fontId="4" fillId="0" borderId="1" pivotButton="0" quotePrefix="0" xfId="0"/>
    <xf numFmtId="167" fontId="5" fillId="0" borderId="1" pivotButton="0" quotePrefix="0" xfId="0"/>
    <xf numFmtId="0" fontId="5" fillId="3" borderId="0" pivotButton="0" quotePrefix="0" xfId="0"/>
    <xf numFmtId="0" fontId="13" fillId="0" borderId="0" applyAlignment="1" pivotButton="0" quotePrefix="0" xfId="0">
      <alignment vertical="top" wrapText="1"/>
    </xf>
    <xf numFmtId="0" fontId="7" fillId="0" borderId="1" pivotButton="0" quotePrefix="0" xfId="0"/>
    <xf numFmtId="170" fontId="7" fillId="0" borderId="1" pivotButton="0" quotePrefix="0" xfId="0"/>
    <xf numFmtId="169" fontId="7" fillId="0" borderId="1" pivotButton="0" quotePrefix="0" xfId="0"/>
    <xf numFmtId="170" fontId="4" fillId="0" borderId="1" pivotButton="0" quotePrefix="0" xfId="0"/>
    <xf numFmtId="169" fontId="4" fillId="0" borderId="1" pivotButton="0" quotePrefix="0" xfId="0"/>
    <xf numFmtId="171" fontId="4" fillId="0" borderId="1" pivotButton="0" quotePrefix="0" xfId="0"/>
    <xf numFmtId="165" fontId="4" fillId="0" borderId="1" applyAlignment="1" pivotButton="0" quotePrefix="0" xfId="0">
      <alignment horizontal="right"/>
    </xf>
    <xf numFmtId="169" fontId="12" fillId="0" borderId="0" pivotButton="0" quotePrefix="0" xfId="0"/>
    <xf numFmtId="170" fontId="4" fillId="0" borderId="1" applyAlignment="1" pivotButton="0" quotePrefix="0" xfId="0">
      <alignment horizontal="right"/>
    </xf>
    <xf numFmtId="169" fontId="4" fillId="0" borderId="1" applyAlignment="1" pivotButton="0" quotePrefix="0" xfId="0">
      <alignment horizontal="right"/>
    </xf>
    <xf numFmtId="170" fontId="5" fillId="0" borderId="1" pivotButton="0" quotePrefix="0" xfId="0"/>
    <xf numFmtId="3" fontId="7" fillId="0" borderId="1" pivotButton="0" quotePrefix="0" xfId="0"/>
    <xf numFmtId="3" fontId="4" fillId="0"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harts/chart1.xml><?xml version="1.0" encoding="utf-8"?>
<chartSpace xmlns:a="http://schemas.openxmlformats.org/drawingml/2006/main" xmlns="http://schemas.openxmlformats.org/drawingml/2006/chart">
  <style val="13"/>
  <chart>
    <title>
      <tx>
        <rich>
          <a:bodyPr/>
          <a:p>
            <a:pPr>
              <a:defRPr/>
            </a:pPr>
            <a:r>
              <a:t>Cost-effectiveness plane (compared with strategy 1)</a:t>
            </a:r>
          </a:p>
        </rich>
      </tx>
    </title>
    <plotArea>
      <scatterChart>
        <ser>
          <idx val="0"/>
          <order val="0"/>
          <tx>
            <strRef>
              <f>'Results'!$B$14</f>
            </strRef>
          </tx>
          <spPr>
            <a:ln>
              <a:noFill/>
              <a:prstDash val="solid"/>
            </a:ln>
          </spPr>
          <marker>
            <symbol val="circle"/>
            <size val="9"/>
            <spPr>
              <a:ln>
                <a:prstDash val="solid"/>
              </a:ln>
            </spPr>
          </marker>
          <xVal>
            <numRef>
              <f>'Results'!$D$14</f>
            </numRef>
          </xVal>
          <yVal>
            <numRef>
              <f>'Results'!$C$14</f>
            </numRef>
          </yVal>
        </ser>
        <ser>
          <idx val="1"/>
          <order val="1"/>
          <tx>
            <strRef>
              <f>'Results'!$B$15</f>
            </strRef>
          </tx>
          <spPr>
            <a:ln>
              <a:noFill/>
              <a:prstDash val="solid"/>
            </a:ln>
          </spPr>
          <marker>
            <symbol val="circle"/>
            <size val="9"/>
            <spPr>
              <a:ln>
                <a:prstDash val="solid"/>
              </a:ln>
            </spPr>
          </marker>
          <xVal>
            <numRef>
              <f>'Results'!$D$15</f>
            </numRef>
          </xVal>
          <yVal>
            <numRef>
              <f>'Results'!$C$15</f>
            </numRef>
          </yVal>
        </ser>
        <ser>
          <idx val="2"/>
          <order val="2"/>
          <tx>
            <strRef>
              <f>'Results'!$B$16</f>
            </strRef>
          </tx>
          <spPr>
            <a:ln>
              <a:noFill/>
              <a:prstDash val="solid"/>
            </a:ln>
          </spPr>
          <marker>
            <symbol val="circle"/>
            <size val="9"/>
            <spPr>
              <a:ln>
                <a:prstDash val="solid"/>
              </a:ln>
            </spPr>
          </marker>
          <xVal>
            <numRef>
              <f>'Results'!$D$16</f>
            </numRef>
          </xVal>
          <yVal>
            <numRef>
              <f>'Results'!$C$16</f>
            </numRef>
          </yVal>
        </ser>
        <ser>
          <idx val="3"/>
          <order val="3"/>
          <tx>
            <v>Willingness to pay</v>
          </tx>
          <spPr>
            <a:ln>
              <a:solidFill>
                <a:srgbClr val="808080"/>
              </a:solidFill>
              <a:prstDash val="dash"/>
            </a:ln>
          </spPr>
          <marker>
            <symbol val="none"/>
            <spPr>
              <a:ln>
                <a:prstDash val="solid"/>
              </a:ln>
            </spPr>
          </marker>
          <xVal>
            <numRef>
              <f>'Results'!$L$14:$L$15</f>
            </numRef>
          </xVal>
          <yVal>
            <numRef>
              <f>'Results'!$M$14:$M$15</f>
            </numRef>
          </yVal>
        </ser>
        <axId val="10"/>
        <axId val="20"/>
      </scatterChart>
      <valAx>
        <axId val="10"/>
        <scaling>
          <orientation val="minMax"/>
        </scaling>
        <delete val="0"/>
        <axPos val="l"/>
        <majorGridlines/>
        <title>
          <tx>
            <rich>
              <a:bodyPr/>
              <a:p>
                <a:pPr>
                  <a:defRPr/>
                </a:pPr>
                <a:r>
                  <a:t>Extra QALYs per person</a:t>
                </a:r>
              </a:p>
            </rich>
          </tx>
        </title>
        <numFmt formatCode="0.000" sourceLinked="0"/>
        <majorTickMark val="none"/>
        <minorTickMark val="none"/>
        <crossAx val="20"/>
      </valAx>
      <valAx>
        <axId val="20"/>
        <scaling>
          <orientation val="minMax"/>
        </scaling>
        <delete val="0"/>
        <axPos val="l"/>
        <majorGridlines/>
        <title>
          <tx>
            <rich>
              <a:bodyPr/>
              <a:p>
                <a:pPr>
                  <a:defRPr/>
                </a:pPr>
                <a:r>
                  <a:t>Extra cost per person (€)</a:t>
                </a:r>
              </a:p>
            </rich>
          </tx>
        </title>
        <numFmt formatCode="&quot;€&quot;#,##0" sourceLinked="0"/>
        <majorTickMark val="none"/>
        <minorTickMark val="none"/>
        <crossAx val="10"/>
      </valAx>
    </plotArea>
    <legend>
      <legendPos val="b"/>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Cancers diagnosed per 100,000 person-years</a:t>
            </a:r>
          </a:p>
        </rich>
      </tx>
    </title>
    <plotArea>
      <barChart>
        <barDir val="col"/>
        <grouping val="clustered"/>
        <ser>
          <idx val="0"/>
          <order val="0"/>
          <tx>
            <strRef>
              <f>'Results'!C39</f>
            </strRef>
          </tx>
          <spPr>
            <a:ln>
              <a:prstDash val="solid"/>
            </a:ln>
          </spPr>
          <cat>
            <numRef>
              <f>'Results'!$A$40:$A$51</f>
            </numRef>
          </cat>
          <val>
            <numRef>
              <f>'Results'!$C$40:$C$51</f>
            </numRef>
          </val>
        </ser>
        <ser>
          <idx val="1"/>
          <order val="1"/>
          <tx>
            <strRef>
              <f>'Results'!D39</f>
            </strRef>
          </tx>
          <spPr>
            <a:ln>
              <a:prstDash val="solid"/>
            </a:ln>
          </spPr>
          <cat>
            <numRef>
              <f>'Results'!$A$40:$A$51</f>
            </numRef>
          </cat>
          <val>
            <numRef>
              <f>'Results'!$D$40:$D$51</f>
            </numRef>
          </val>
        </ser>
        <ser>
          <idx val="2"/>
          <order val="2"/>
          <tx>
            <strRef>
              <f>'Results'!E39</f>
            </strRef>
          </tx>
          <spPr>
            <a:ln>
              <a:prstDash val="solid"/>
            </a:ln>
          </spPr>
          <cat>
            <numRef>
              <f>'Results'!$A$40:$A$51</f>
            </numRef>
          </cat>
          <val>
            <numRef>
              <f>'Results'!$E$40:$E$51</f>
            </numRef>
          </val>
        </ser>
        <gapWidth val="150"/>
        <axId val="10"/>
        <axId val="100"/>
      </barChart>
      <catAx>
        <axId val="10"/>
        <scaling>
          <orientation val="minMax"/>
        </scaling>
        <delete val="0"/>
        <axPos val="l"/>
        <title>
          <tx>
            <rich>
              <a:bodyPr/>
              <a:p>
                <a:pPr>
                  <a:defRPr/>
                </a:pPr>
                <a:r>
                  <a:t>Age group</a:t>
                </a:r>
              </a:p>
            </rich>
          </tx>
        </title>
        <majorTickMark val="none"/>
        <minorTickMark val="none"/>
        <crossAx val="100"/>
        <lblOffset val="100"/>
      </catAx>
      <valAx>
        <axId val="100"/>
        <scaling>
          <orientation val="minMax"/>
        </scaling>
        <delete val="0"/>
        <axPos val="l"/>
        <majorGridlines/>
        <title>
          <tx>
            <rich>
              <a:bodyPr/>
              <a:p>
                <a:pPr>
                  <a:defRPr/>
                </a:pPr>
                <a:r>
                  <a:t>Per 100,000</a:t>
                </a:r>
              </a:p>
            </rich>
          </tx>
        </title>
        <majorTickMark val="none"/>
        <minorTickMark val="none"/>
        <crossAx val="10"/>
      </valAx>
    </plotArea>
    <legend>
      <legendPos val="b"/>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People living with advanced cancer</a:t>
            </a:r>
          </a:p>
        </rich>
      </tx>
    </title>
    <plotArea>
      <lineChart>
        <grouping val="standard"/>
        <ser>
          <idx val="0"/>
          <order val="0"/>
          <tx>
            <strRef>
              <f>'Results'!$B$8</f>
            </strRef>
          </tx>
          <spPr>
            <a:ln>
              <a:prstDash val="solid"/>
            </a:ln>
          </spPr>
          <marker>
            <symbol val="none"/>
            <spPr>
              <a:ln>
                <a:prstDash val="solid"/>
              </a:ln>
            </spPr>
          </marker>
          <cat>
            <numRef>
              <f>'Trace 1'!$B$9:$B$68</f>
            </numRef>
          </cat>
          <val>
            <numRef>
              <f>'Trace 1'!$T$9:$T$68</f>
            </numRef>
          </val>
          <smooth val="0"/>
        </ser>
        <ser>
          <idx val="1"/>
          <order val="1"/>
          <tx>
            <strRef>
              <f>'Results'!$B$9</f>
            </strRef>
          </tx>
          <spPr>
            <a:ln>
              <a:prstDash val="solid"/>
            </a:ln>
          </spPr>
          <marker>
            <symbol val="none"/>
            <spPr>
              <a:ln>
                <a:prstDash val="solid"/>
              </a:ln>
            </spPr>
          </marker>
          <cat>
            <numRef>
              <f>'Trace 1'!$B$9:$B$68</f>
            </numRef>
          </cat>
          <val>
            <numRef>
              <f>'Trace 2'!$T$9:$T$68</f>
            </numRef>
          </val>
          <smooth val="0"/>
        </ser>
        <ser>
          <idx val="2"/>
          <order val="2"/>
          <tx>
            <strRef>
              <f>'Results'!$B$10</f>
            </strRef>
          </tx>
          <spPr>
            <a:ln>
              <a:prstDash val="solid"/>
            </a:ln>
          </spPr>
          <marker>
            <symbol val="none"/>
            <spPr>
              <a:ln>
                <a:prstDash val="solid"/>
              </a:ln>
            </spPr>
          </marker>
          <cat>
            <numRef>
              <f>'Trace 1'!$B$9:$B$68</f>
            </numRef>
          </cat>
          <val>
            <numRef>
              <f>'Trace 3'!$T$9:$T$68</f>
            </numRef>
          </val>
          <smooth val="0"/>
        </ser>
        <axId val="10"/>
        <axId val="100"/>
      </lineChart>
      <catAx>
        <axId val="10"/>
        <scaling>
          <orientation val="minMax"/>
        </scaling>
        <delete val="0"/>
        <axPos val="l"/>
        <title>
          <tx>
            <rich>
              <a:bodyPr/>
              <a:p>
                <a:pPr>
                  <a:defRPr/>
                </a:pPr>
                <a:r>
                  <a:t>Age</a:t>
                </a:r>
              </a:p>
            </rich>
          </tx>
        </title>
        <majorTickMark val="none"/>
        <minorTickMark val="none"/>
        <crossAx val="100"/>
        <lblOffset val="100"/>
        <tickLblSkip val="5"/>
      </catAx>
      <valAx>
        <axId val="100"/>
        <scaling>
          <orientation val="minMax"/>
        </scaling>
        <delete val="0"/>
        <axPos val="l"/>
        <majorGridlines/>
        <title>
          <tx>
            <rich>
              <a:bodyPr/>
              <a:p>
                <a:pPr>
                  <a:defRPr/>
                </a:pPr>
                <a:r>
                  <a:t>People</a:t>
                </a:r>
              </a:p>
            </rich>
          </tx>
        </title>
        <majorTickMark val="none"/>
        <minorTickMark val="none"/>
        <crossAx val="10"/>
      </valAx>
    </plotArea>
    <legend>
      <legendPos val="b"/>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Cancer deaths per year</a:t>
            </a:r>
          </a:p>
        </rich>
      </tx>
    </title>
    <plotArea>
      <lineChart>
        <grouping val="standard"/>
        <ser>
          <idx val="0"/>
          <order val="0"/>
          <tx>
            <strRef>
              <f>'Results'!$B$8</f>
            </strRef>
          </tx>
          <spPr>
            <a:ln>
              <a:prstDash val="solid"/>
            </a:ln>
          </spPr>
          <marker>
            <symbol val="none"/>
            <spPr>
              <a:ln>
                <a:prstDash val="solid"/>
              </a:ln>
            </spPr>
          </marker>
          <cat>
            <numRef>
              <f>'Trace 1'!$B$9:$B$68</f>
            </numRef>
          </cat>
          <val>
            <numRef>
              <f>'Trace 1'!$AA$9:$AA$68</f>
            </numRef>
          </val>
          <smooth val="0"/>
        </ser>
        <ser>
          <idx val="1"/>
          <order val="1"/>
          <tx>
            <strRef>
              <f>'Results'!$B$9</f>
            </strRef>
          </tx>
          <spPr>
            <a:ln>
              <a:prstDash val="solid"/>
            </a:ln>
          </spPr>
          <marker>
            <symbol val="none"/>
            <spPr>
              <a:ln>
                <a:prstDash val="solid"/>
              </a:ln>
            </spPr>
          </marker>
          <cat>
            <numRef>
              <f>'Trace 1'!$B$9:$B$68</f>
            </numRef>
          </cat>
          <val>
            <numRef>
              <f>'Trace 2'!$AA$9:$AA$68</f>
            </numRef>
          </val>
          <smooth val="0"/>
        </ser>
        <ser>
          <idx val="2"/>
          <order val="2"/>
          <tx>
            <strRef>
              <f>'Results'!$B$10</f>
            </strRef>
          </tx>
          <spPr>
            <a:ln>
              <a:prstDash val="solid"/>
            </a:ln>
          </spPr>
          <marker>
            <symbol val="none"/>
            <spPr>
              <a:ln>
                <a:prstDash val="solid"/>
              </a:ln>
            </spPr>
          </marker>
          <cat>
            <numRef>
              <f>'Trace 1'!$B$9:$B$68</f>
            </numRef>
          </cat>
          <val>
            <numRef>
              <f>'Trace 3'!$AA$9:$AA$68</f>
            </numRef>
          </val>
          <smooth val="0"/>
        </ser>
        <axId val="10"/>
        <axId val="100"/>
      </lineChart>
      <catAx>
        <axId val="10"/>
        <scaling>
          <orientation val="minMax"/>
        </scaling>
        <delete val="0"/>
        <axPos val="l"/>
        <title>
          <tx>
            <rich>
              <a:bodyPr/>
              <a:p>
                <a:pPr>
                  <a:defRPr/>
                </a:pPr>
                <a:r>
                  <a:t>Age</a:t>
                </a:r>
              </a:p>
            </rich>
          </tx>
        </title>
        <majorTickMark val="none"/>
        <minorTickMark val="none"/>
        <crossAx val="100"/>
        <lblOffset val="100"/>
        <tickLblSkip val="5"/>
      </catAx>
      <valAx>
        <axId val="100"/>
        <scaling>
          <orientation val="minMax"/>
        </scaling>
        <delete val="0"/>
        <axPos val="l"/>
        <majorGridlines/>
        <title>
          <tx>
            <rich>
              <a:bodyPr/>
              <a:p>
                <a:pPr>
                  <a:defRPr/>
                </a:pPr>
                <a:r>
                  <a:t>Deaths</a:t>
                </a:r>
              </a:p>
            </rich>
          </tx>
        </title>
        <majorTickMark val="none"/>
        <minorTickMark val="none"/>
        <crossAx val="10"/>
      </valAx>
    </plotArea>
    <legend>
      <legendPos val="b"/>
    </legend>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Markov trace of strategy 1: where the cohort is each year</a:t>
            </a:r>
          </a:p>
        </rich>
      </tx>
    </title>
    <plotArea>
      <lineChart>
        <grouping val="standard"/>
        <ser>
          <idx val="0"/>
          <order val="0"/>
          <tx>
            <strRef>
              <f>'Trace 1'!R7</f>
            </strRef>
          </tx>
          <spPr>
            <a:ln>
              <a:prstDash val="solid"/>
            </a:ln>
          </spPr>
          <marker>
            <symbol val="none"/>
            <spPr>
              <a:ln>
                <a:prstDash val="solid"/>
              </a:ln>
            </spPr>
          </marker>
          <cat>
            <numRef>
              <f>'Trace 1'!$B$9:$B$68</f>
            </numRef>
          </cat>
          <val>
            <numRef>
              <f>'Trace 1'!$R$8:$R$68</f>
            </numRef>
          </val>
        </ser>
        <ser>
          <idx val="1"/>
          <order val="1"/>
          <tx>
            <strRef>
              <f>'Trace 1'!S7</f>
            </strRef>
          </tx>
          <spPr>
            <a:ln>
              <a:prstDash val="solid"/>
            </a:ln>
          </spPr>
          <marker>
            <symbol val="none"/>
            <spPr>
              <a:ln>
                <a:prstDash val="solid"/>
              </a:ln>
            </spPr>
          </marker>
          <cat>
            <numRef>
              <f>'Trace 1'!$B$9:$B$68</f>
            </numRef>
          </cat>
          <val>
            <numRef>
              <f>'Trace 1'!$S$8:$S$68</f>
            </numRef>
          </val>
        </ser>
        <ser>
          <idx val="2"/>
          <order val="2"/>
          <tx>
            <strRef>
              <f>'Trace 1'!T7</f>
            </strRef>
          </tx>
          <spPr>
            <a:ln>
              <a:prstDash val="solid"/>
            </a:ln>
          </spPr>
          <marker>
            <symbol val="none"/>
            <spPr>
              <a:ln>
                <a:prstDash val="solid"/>
              </a:ln>
            </spPr>
          </marker>
          <cat>
            <numRef>
              <f>'Trace 1'!$B$9:$B$68</f>
            </numRef>
          </cat>
          <val>
            <numRef>
              <f>'Trace 1'!$T$8:$T$68</f>
            </numRef>
          </val>
        </ser>
        <ser>
          <idx val="3"/>
          <order val="3"/>
          <tx>
            <strRef>
              <f>'Trace 1'!U7</f>
            </strRef>
          </tx>
          <spPr>
            <a:ln>
              <a:prstDash val="solid"/>
            </a:ln>
          </spPr>
          <marker>
            <symbol val="none"/>
            <spPr>
              <a:ln>
                <a:prstDash val="solid"/>
              </a:ln>
            </spPr>
          </marker>
          <cat>
            <numRef>
              <f>'Trace 1'!$B$9:$B$68</f>
            </numRef>
          </cat>
          <val>
            <numRef>
              <f>'Trace 1'!$U$8:$U$68</f>
            </numRef>
          </val>
        </ser>
        <axId val="10"/>
        <axId val="100"/>
      </lineChart>
      <catAx>
        <axId val="10"/>
        <scaling>
          <orientation val="minMax"/>
        </scaling>
        <delete val="0"/>
        <axPos val="l"/>
        <title>
          <tx>
            <rich>
              <a:bodyPr/>
              <a:p>
                <a:pPr>
                  <a:defRPr/>
                </a:pPr>
                <a:r>
                  <a:t>Age</a:t>
                </a:r>
              </a:p>
            </rich>
          </tx>
        </title>
        <majorTickMark val="none"/>
        <minorTickMark val="none"/>
        <crossAx val="100"/>
        <lblOffset val="100"/>
        <tickLblSkip val="5"/>
      </catAx>
      <valAx>
        <axId val="100"/>
        <scaling>
          <orientation val="minMax"/>
        </scaling>
        <delete val="0"/>
        <axPos val="l"/>
        <majorGridlines/>
        <title>
          <tx>
            <rich>
              <a:bodyPr/>
              <a:p>
                <a:pPr>
                  <a:defRPr/>
                </a:pPr>
                <a:r>
                  <a:t>People</a:t>
                </a:r>
              </a:p>
            </rich>
          </tx>
        </title>
        <majorTickMark val="none"/>
        <minorTickMark val="none"/>
        <crossAx val="10"/>
      </valAx>
    </plotArea>
    <legend>
      <legendPos val="b"/>
    </legend>
    <plotVisOnly val="1"/>
    <dispBlanksAs val="gap"/>
  </chart>
</chartSpace>
</file>

<file path=xl/comments/comment1.xml><?xml version="1.0" encoding="utf-8"?>
<comments xmlns="http://schemas.openxmlformats.org/spreadsheetml/2006/main">
  <authors>
    <author>Model</author>
  </authors>
  <commentList>
    <comment ref="C42" authorId="0" shapeId="0">
      <text>
        <t>Chance of dying in a year from anything other than this cancer. Illustrative values with the usual shape of a life table: low in middle age, rising fast after 70.</t>
      </text>
    </comment>
    <comment ref="D42" authorId="0" shapeId="0">
      <text>
        <t>Chance that a healthy person develops an early cancer in a year. Illustrative values that rise with age, like most cancers. Most of these cancers are never diagnosed early without screening.</t>
      </text>
    </comment>
  </commentList>
</comments>
</file>

<file path=xl/comments/comment2.xml><?xml version="1.0" encoding="utf-8"?>
<comments xmlns="http://schemas.openxmlformats.org/spreadsheetml/2006/main">
  <authors>
    <author>Model</author>
  </authors>
  <commentList>
    <comment ref="B2" authorId="0" shapeId="0">
      <text>
        <t>Which row of the strategy table (Inputs, section 8) this sheet calculates. The three Trace sheets are identical except for this number.</t>
      </text>
    </comment>
    <comment ref="A7" authorId="0" shapeId="0">
      <text>
        <t>Cycle (years since start)
Years since the start. The first year is cycle 0. Discounting uses this number.
Formula of the first year:
0
Formula of the next years:
=A9+1</t>
      </text>
    </comment>
    <comment ref="B7" authorId="0" shapeId="0">
      <text>
        <t>Age
start_age + cycle.
Formula of the first year:
=start_age+A9</t>
      </text>
    </comment>
    <comment ref="C7" authorId="0" shapeId="0">
      <text>
        <t>Age group
The row of table 7 of Inputs that this age falls in. MATCH(...,1) finds the last "From age" that is not above this age.
Formula of the first year:
=INDEX(age_band_label,MATCH(B9,age_band_start,1))</t>
      </text>
    </comment>
    <comment ref="D7" authorId="0" shapeId="0">
      <text>
        <t>Death from other causes
Looked up from table 7 of Inputs for this age.
Formula of the first year:
=INDEX(p_background_death,MATCH(B9,age_band_start,1))</t>
      </text>
    </comment>
    <comment ref="E7" authorId="0" shapeId="0">
      <text>
        <t>Cancer starts (if healthy)
Looked up from table 7 of Inputs for this age.
Formula of the first year:
=INDEX(p_cancer_onset,MATCH(B9,age_band_start,1))</t>
      </text>
    </comment>
    <comment ref="F7" authorId="0" shapeId="0">
      <text>
        <t>Screening offered? (1 = yes)
1 if this strategy screens at this age, 0 otherwise (see rows 2-3 at the top).
Formula of the first year:
=IF(AND($B$3="Yes",B9&gt;=$E$3,B9&lt;=$H$3),1,0)</t>
      </text>
    </comment>
    <comment ref="G7" authorId="0" shapeId="0">
      <text>
        <t>Screened this year
Probability that a person is screened this year: the participation if screening is offered, else 0.
Formula of the first year:
=F9*screen_participation</t>
      </text>
    </comment>
    <comment ref="H7" authorId="0" shapeId="0">
      <text>
        <t>Early cancer detected this year
An early cancer stays hidden only if symptoms do not reveal it AND screening misses it (not screened, or screened with a false negative). So:
1 - (1 - p_detect_symptoms) x (1 - screened x sensitivity).
Formula of the first year:
=1-(1-p_detect_symptoms)*(1-G9*screen_sensitivity)</t>
      </text>
    </comment>
    <comment ref="I7" authorId="0" shapeId="0">
      <text>
        <t>Healthy → Healthy
Whatever is left of the Healthy row: 1 minus the other probabilities of the row.
Formula of the first year:
=1-J9-K9</t>
      </text>
    </comment>
    <comment ref="J7" authorId="0" shapeId="0">
      <text>
        <t>Healthy → Early
Survives other causes AND develops cancer: (1 - other causes) x cancer starts.
Formula of the first year:
=(1-D9)*E9</t>
      </text>
    </comment>
    <comment ref="K7" authorId="0" shapeId="0">
      <text>
        <t>Healthy → Dead
Death from other causes.
Formula of the first year:
=D9</t>
      </text>
    </comment>
    <comment ref="L7" authorId="0" shapeId="0">
      <text>
        <t>Early → Healthy
Survives AND is detected AND treatment cures it.
Formula of the first year:
=(1-D9)*H9*p_cure_early</t>
      </text>
    </comment>
    <comment ref="M7" authorId="0" shapeId="0">
      <text>
        <t>Early → Early
Survives AND is not detected AND does not progress.
Formula of the first year:
=(1-D9)*(1-H9)*(1-p_progression)</t>
      </text>
    </comment>
    <comment ref="N7" authorId="0" shapeId="0">
      <text>
        <t>Early → Advanced
Survives AND either (is detected but treatment fails) or (is not detected and progresses).
Formula of the first year:
=(1-D9)*(H9*(1-p_cure_early)+(1-H9)*p_progression)</t>
      </text>
    </comment>
    <comment ref="O7" authorId="0" shapeId="0">
      <text>
        <t>Early → Dead
Death from other causes. (An early cancer does not kill.)
Formula of the first year:
=D9</t>
      </text>
    </comment>
    <comment ref="P7" authorId="0" shapeId="0">
      <text>
        <t>Advanced → Advanced
Whatever is left of the Advanced row.
Formula of the first year:
=1-Q9</t>
      </text>
    </comment>
    <comment ref="Q7" authorId="0" shapeId="0">
      <text>
        <t>Advanced → Dead
Dies of either cause: 1 minus the chance of surviving both.
Dead → Dead is always 1, so it has no column.
Formula of the first year:
=1-(1-D9)*(1-p_death_advanced)</t>
      </text>
    </comment>
    <comment ref="R7" authorId="0" shapeId="0">
      <text>
        <t>Healthy
Last year's Healthy who stayed + last year's Early who were cured.
Each state of this year = SUM over last year's states of (people x probability of moving here), i.e. last year's row multiplied by last year's transition matrix. Everyone starts here.
Formula of the first year:
=cohort_size
Formula of the next years:
=R9*I9+S9*L9</t>
      </text>
    </comment>
    <comment ref="S7" authorId="0" shapeId="0">
      <text>
        <t>Early cancer
Last year's Healthy who developed cancer + last year's Early who stayed Early.
Formula of the first year:
0
Formula of the next years:
=R9*J9+S9*M9</t>
      </text>
    </comment>
    <comment ref="T7" authorId="0" shapeId="0">
      <text>
        <t>Advanced cancer
Last year's Early who progressed + last year's Advanced who survived.
Formula of the first year:
0
Formula of the next years:
=S9*N9+T9*P9</t>
      </text>
    </comment>
    <comment ref="U7" authorId="0" shapeId="0">
      <text>
        <t>Dead
Everyone who was already dead + those who died last year from each state.
Formula of the first year:
0
Formula of the next years:
=U9+R9*K9+S9*O9+T9*Q9</t>
      </text>
    </comment>
    <comment ref="V7" authorId="0" shapeId="0">
      <text>
        <t>Alive
Healthy + Early + Advanced. Each alive person lives one life year this cycle.
Formula of the first year:
=R9+S9+T9</t>
      </text>
    </comment>
    <comment ref="W7" authorId="0" shapeId="0">
      <text>
        <t>New cancers
Healthy people who develop an early cancer this year (most are not diagnosed yet).
Formula of the first year:
=R9*J9</t>
      </text>
    </comment>
    <comment ref="X7" authorId="0" shapeId="0">
      <text>
        <t>Diagnosed early
Early cancers found this year by symptoms or screening, and treated.
Formula of the first year:
=S9*(1-D9)*H9</t>
      </text>
    </comment>
    <comment ref="Y7" authorId="0" shapeId="0">
      <text>
        <t>Diagnosed advanced
Early cancers that were missed and became advanced: diagnosed late.
Formula of the first year:
=S9*(1-D9)*(1-H9)*p_progression</t>
      </text>
    </comment>
    <comment ref="Z7" authorId="0" shapeId="0">
      <text>
        <t>All diagnoses
Cancers diagnosed this year, at either stage.
Formula of the first year:
=X9+Y9</t>
      </text>
    </comment>
    <comment ref="AA7" authorId="0" shapeId="0">
      <text>
        <t>Cancer deaths
People with advanced cancer who die of it this year.
Formula of the first year:
=T9*(1-D9)*p_death_advanced</t>
      </text>
    </comment>
    <comment ref="AB7" authorId="0" shapeId="0">
      <text>
        <t>Screening tests
Healthy and Early people (nobody knows who has an early cancer) x probability of being screened.
Formula of the first year:
=(R9+S9)*G9</t>
      </text>
    </comment>
    <comment ref="AC7" authorId="0" shapeId="0">
      <text>
        <t>Follow-up tests
Positive tests: false positives among the healthy + true positives among early cancers.
Formula of the first year:
=G9*(R9*(1-screen_specificity)+S9*screen_sensitivity)</t>
      </text>
    </comment>
    <comment ref="AD7" authorId="0" shapeId="0">
      <text>
        <t>Screening
Screening tests + follow-up tests.
Formula of the first year:
=AB9*cost_screen_test+AC9*cost_followup_test</t>
      </text>
    </comment>
    <comment ref="AE7" authorId="0" shapeId="0">
      <text>
        <t>Early treatment
One-off cost for each early cancer diagnosed this year.
Formula of the first year:
=X9*cost_early_treatment</t>
      </text>
    </comment>
    <comment ref="AF7" authorId="0" shapeId="0">
      <text>
        <t>Advanced treatment
A year of treatment for each person with advanced cancer.
Formula of the first year:
=T9*cost_advanced_year</t>
      </text>
    </comment>
    <comment ref="AG7" authorId="0" shapeId="0">
      <text>
        <t>Total cost
Sum of the three.
Formula of the first year:
=AD9+AE9+AF9</t>
      </text>
    </comment>
    <comment ref="AH7" authorId="0" shapeId="0">
      <text>
        <t>Life years
One year lived by each person alive.
Formula of the first year:
=V9</t>
      </text>
    </comment>
    <comment ref="AI7" authorId="0" shapeId="0">
      <text>
        <t>QALYs
Each person alive lives a year weighted by the utility of their state.
Formula of the first year:
=R9*u_healthy+S9*u_early+T9*u_advanced</t>
      </text>
    </comment>
    <comment ref="AJ7" authorId="0" shapeId="0">
      <text>
        <t>Discount factor (costs)
1 / (1 + rate)^cycle: what a cost of 1 in this year is worth today.
Formula of the first year:
=1/(1+disc_costs)^A9</t>
      </text>
    </comment>
    <comment ref="AK7" authorId="0" shapeId="0">
      <text>
        <t>Discount factor (health)
The same with the rate for health effects.
Formula of the first year:
=1/(1+disc_effects)^A9</t>
      </text>
    </comment>
    <comment ref="AL7" authorId="0" shapeId="0">
      <text>
        <t>Discounted cost
Total cost x discount factor.
Formula of the first year:
=AG9*AJ9</t>
      </text>
    </comment>
    <comment ref="AM7" authorId="0" shapeId="0">
      <text>
        <t>Discounted QALYs
QALYs x discount factor.
Formula of the first year:
=AI9*AK9</t>
      </text>
    </comment>
    <comment ref="AN7" authorId="0" shapeId="0">
      <text>
        <t>Discounted life years
Life years x discount factor.
Formula of the first year:
=AH9*AK9</t>
      </text>
    </comment>
    <comment ref="AO7" authorId="0" shapeId="0">
      <text>
        <t>Check
OK if nobody was lost or created (alive + dead = cohort size) and every transition probability is between 0 and 1. If you see CHECK, an input makes the model impossible.
Formula of the first year:
=IF(AND(ABS(V9+U9-cohort_size)&lt;0.000001*cohort_size,MIN(I9:Q9)&gt;=0,MAX(I9:Q9)&lt;=1),"OK","CHECK")</t>
      </text>
    </comment>
  </commentList>
</comments>
</file>

<file path=xl/comments/comment3.xml><?xml version="1.0" encoding="utf-8"?>
<comments xmlns="http://schemas.openxmlformats.org/spreadsheetml/2006/main">
  <authors>
    <author>Model</author>
  </authors>
  <commentList>
    <comment ref="B2" authorId="0" shapeId="0">
      <text>
        <t>Which row of the strategy table (Inputs, section 8) this sheet calculates. The three Trace sheets are identical except for this number.</t>
      </text>
    </comment>
    <comment ref="A7" authorId="0" shapeId="0">
      <text>
        <t>Cycle (years since start)
Years since the start. The first year is cycle 0. Discounting uses this number.
Formula of the first year:
0
Formula of the next years:
=A9+1</t>
      </text>
    </comment>
    <comment ref="B7" authorId="0" shapeId="0">
      <text>
        <t>Age
start_age + cycle.
Formula of the first year:
=start_age+A9</t>
      </text>
    </comment>
    <comment ref="C7" authorId="0" shapeId="0">
      <text>
        <t>Age group
The row of table 7 of Inputs that this age falls in. MATCH(...,1) finds the last "From age" that is not above this age.
Formula of the first year:
=INDEX(age_band_label,MATCH(B9,age_band_start,1))</t>
      </text>
    </comment>
    <comment ref="D7" authorId="0" shapeId="0">
      <text>
        <t>Death from other causes
Looked up from table 7 of Inputs for this age.
Formula of the first year:
=INDEX(p_background_death,MATCH(B9,age_band_start,1))</t>
      </text>
    </comment>
    <comment ref="E7" authorId="0" shapeId="0">
      <text>
        <t>Cancer starts (if healthy)
Looked up from table 7 of Inputs for this age.
Formula of the first year:
=INDEX(p_cancer_onset,MATCH(B9,age_band_start,1))</t>
      </text>
    </comment>
    <comment ref="F7" authorId="0" shapeId="0">
      <text>
        <t>Screening offered? (1 = yes)
1 if this strategy screens at this age, 0 otherwise (see rows 2-3 at the top).
Formula of the first year:
=IF(AND($B$3="Yes",B9&gt;=$E$3,B9&lt;=$H$3),1,0)</t>
      </text>
    </comment>
    <comment ref="G7" authorId="0" shapeId="0">
      <text>
        <t>Screened this year
Probability that a person is screened this year: the participation if screening is offered, else 0.
Formula of the first year:
=F9*screen_participation</t>
      </text>
    </comment>
    <comment ref="H7" authorId="0" shapeId="0">
      <text>
        <t>Early cancer detected this year
An early cancer stays hidden only if symptoms do not reveal it AND screening misses it (not screened, or screened with a false negative). So:
1 - (1 - p_detect_symptoms) x (1 - screened x sensitivity).
Formula of the first year:
=1-(1-p_detect_symptoms)*(1-G9*screen_sensitivity)</t>
      </text>
    </comment>
    <comment ref="I7" authorId="0" shapeId="0">
      <text>
        <t>Healthy → Healthy
Whatever is left of the Healthy row: 1 minus the other probabilities of the row.
Formula of the first year:
=1-J9-K9</t>
      </text>
    </comment>
    <comment ref="J7" authorId="0" shapeId="0">
      <text>
        <t>Healthy → Early
Survives other causes AND develops cancer: (1 - other causes) x cancer starts.
Formula of the first year:
=(1-D9)*E9</t>
      </text>
    </comment>
    <comment ref="K7" authorId="0" shapeId="0">
      <text>
        <t>Healthy → Dead
Death from other causes.
Formula of the first year:
=D9</t>
      </text>
    </comment>
    <comment ref="L7" authorId="0" shapeId="0">
      <text>
        <t>Early → Healthy
Survives AND is detected AND treatment cures it.
Formula of the first year:
=(1-D9)*H9*p_cure_early</t>
      </text>
    </comment>
    <comment ref="M7" authorId="0" shapeId="0">
      <text>
        <t>Early → Early
Survives AND is not detected AND does not progress.
Formula of the first year:
=(1-D9)*(1-H9)*(1-p_progression)</t>
      </text>
    </comment>
    <comment ref="N7" authorId="0" shapeId="0">
      <text>
        <t>Early → Advanced
Survives AND either (is detected but treatment fails) or (is not detected and progresses).
Formula of the first year:
=(1-D9)*(H9*(1-p_cure_early)+(1-H9)*p_progression)</t>
      </text>
    </comment>
    <comment ref="O7" authorId="0" shapeId="0">
      <text>
        <t>Early → Dead
Death from other causes. (An early cancer does not kill.)
Formula of the first year:
=D9</t>
      </text>
    </comment>
    <comment ref="P7" authorId="0" shapeId="0">
      <text>
        <t>Advanced → Advanced
Whatever is left of the Advanced row.
Formula of the first year:
=1-Q9</t>
      </text>
    </comment>
    <comment ref="Q7" authorId="0" shapeId="0">
      <text>
        <t>Advanced → Dead
Dies of either cause: 1 minus the chance of surviving both.
Dead → Dead is always 1, so it has no column.
Formula of the first year:
=1-(1-D9)*(1-p_death_advanced)</t>
      </text>
    </comment>
    <comment ref="R7" authorId="0" shapeId="0">
      <text>
        <t>Healthy
Last year's Healthy who stayed + last year's Early who were cured.
Each state of this year = SUM over last year's states of (people x probability of moving here), i.e. last year's row multiplied by last year's transition matrix. Everyone starts here.
Formula of the first year:
=cohort_size
Formula of the next years:
=R9*I9+S9*L9</t>
      </text>
    </comment>
    <comment ref="S7" authorId="0" shapeId="0">
      <text>
        <t>Early cancer
Last year's Healthy who developed cancer + last year's Early who stayed Early.
Formula of the first year:
0
Formula of the next years:
=R9*J9+S9*M9</t>
      </text>
    </comment>
    <comment ref="T7" authorId="0" shapeId="0">
      <text>
        <t>Advanced cancer
Last year's Early who progressed + last year's Advanced who survived.
Formula of the first year:
0
Formula of the next years:
=S9*N9+T9*P9</t>
      </text>
    </comment>
    <comment ref="U7" authorId="0" shapeId="0">
      <text>
        <t>Dead
Everyone who was already dead + those who died last year from each state.
Formula of the first year:
0
Formula of the next years:
=U9+R9*K9+S9*O9+T9*Q9</t>
      </text>
    </comment>
    <comment ref="V7" authorId="0" shapeId="0">
      <text>
        <t>Alive
Healthy + Early + Advanced. Each alive person lives one life year this cycle.
Formula of the first year:
=R9+S9+T9</t>
      </text>
    </comment>
    <comment ref="W7" authorId="0" shapeId="0">
      <text>
        <t>New cancers
Healthy people who develop an early cancer this year (most are not diagnosed yet).
Formula of the first year:
=R9*J9</t>
      </text>
    </comment>
    <comment ref="X7" authorId="0" shapeId="0">
      <text>
        <t>Diagnosed early
Early cancers found this year by symptoms or screening, and treated.
Formula of the first year:
=S9*(1-D9)*H9</t>
      </text>
    </comment>
    <comment ref="Y7" authorId="0" shapeId="0">
      <text>
        <t>Diagnosed advanced
Early cancers that were missed and became advanced: diagnosed late.
Formula of the first year:
=S9*(1-D9)*(1-H9)*p_progression</t>
      </text>
    </comment>
    <comment ref="Z7" authorId="0" shapeId="0">
      <text>
        <t>All diagnoses
Cancers diagnosed this year, at either stage.
Formula of the first year:
=X9+Y9</t>
      </text>
    </comment>
    <comment ref="AA7" authorId="0" shapeId="0">
      <text>
        <t>Cancer deaths
People with advanced cancer who die of it this year.
Formula of the first year:
=T9*(1-D9)*p_death_advanced</t>
      </text>
    </comment>
    <comment ref="AB7" authorId="0" shapeId="0">
      <text>
        <t>Screening tests
Healthy and Early people (nobody knows who has an early cancer) x probability of being screened.
Formula of the first year:
=(R9+S9)*G9</t>
      </text>
    </comment>
    <comment ref="AC7" authorId="0" shapeId="0">
      <text>
        <t>Follow-up tests
Positive tests: false positives among the healthy + true positives among early cancers.
Formula of the first year:
=G9*(R9*(1-screen_specificity)+S9*screen_sensitivity)</t>
      </text>
    </comment>
    <comment ref="AD7" authorId="0" shapeId="0">
      <text>
        <t>Screening
Screening tests + follow-up tests.
Formula of the first year:
=AB9*cost_screen_test+AC9*cost_followup_test</t>
      </text>
    </comment>
    <comment ref="AE7" authorId="0" shapeId="0">
      <text>
        <t>Early treatment
One-off cost for each early cancer diagnosed this year.
Formula of the first year:
=X9*cost_early_treatment</t>
      </text>
    </comment>
    <comment ref="AF7" authorId="0" shapeId="0">
      <text>
        <t>Advanced treatment
A year of treatment for each person with advanced cancer.
Formula of the first year:
=T9*cost_advanced_year</t>
      </text>
    </comment>
    <comment ref="AG7" authorId="0" shapeId="0">
      <text>
        <t>Total cost
Sum of the three.
Formula of the first year:
=AD9+AE9+AF9</t>
      </text>
    </comment>
    <comment ref="AH7" authorId="0" shapeId="0">
      <text>
        <t>Life years
One year lived by each person alive.
Formula of the first year:
=V9</t>
      </text>
    </comment>
    <comment ref="AI7" authorId="0" shapeId="0">
      <text>
        <t>QALYs
Each person alive lives a year weighted by the utility of their state.
Formula of the first year:
=R9*u_healthy+S9*u_early+T9*u_advanced</t>
      </text>
    </comment>
    <comment ref="AJ7" authorId="0" shapeId="0">
      <text>
        <t>Discount factor (costs)
1 / (1 + rate)^cycle: what a cost of 1 in this year is worth today.
Formula of the first year:
=1/(1+disc_costs)^A9</t>
      </text>
    </comment>
    <comment ref="AK7" authorId="0" shapeId="0">
      <text>
        <t>Discount factor (health)
The same with the rate for health effects.
Formula of the first year:
=1/(1+disc_effects)^A9</t>
      </text>
    </comment>
    <comment ref="AL7" authorId="0" shapeId="0">
      <text>
        <t>Discounted cost
Total cost x discount factor.
Formula of the first year:
=AG9*AJ9</t>
      </text>
    </comment>
    <comment ref="AM7" authorId="0" shapeId="0">
      <text>
        <t>Discounted QALYs
QALYs x discount factor.
Formula of the first year:
=AI9*AK9</t>
      </text>
    </comment>
    <comment ref="AN7" authorId="0" shapeId="0">
      <text>
        <t>Discounted life years
Life years x discount factor.
Formula of the first year:
=AH9*AK9</t>
      </text>
    </comment>
    <comment ref="AO7" authorId="0" shapeId="0">
      <text>
        <t>Check
OK if nobody was lost or created (alive + dead = cohort size) and every transition probability is between 0 and 1. If you see CHECK, an input makes the model impossible.
Formula of the first year:
=IF(AND(ABS(V9+U9-cohort_size)&lt;0.000001*cohort_size,MIN(I9:Q9)&gt;=0,MAX(I9:Q9)&lt;=1),"OK","CHECK")</t>
      </text>
    </comment>
  </commentList>
</comments>
</file>

<file path=xl/comments/comment4.xml><?xml version="1.0" encoding="utf-8"?>
<comments xmlns="http://schemas.openxmlformats.org/spreadsheetml/2006/main">
  <authors>
    <author>Model</author>
  </authors>
  <commentList>
    <comment ref="B2" authorId="0" shapeId="0">
      <text>
        <t>Which row of the strategy table (Inputs, section 8) this sheet calculates. The three Trace sheets are identical except for this number.</t>
      </text>
    </comment>
    <comment ref="A7" authorId="0" shapeId="0">
      <text>
        <t>Cycle (years since start)
Years since the start. The first year is cycle 0. Discounting uses this number.
Formula of the first year:
0
Formula of the next years:
=A9+1</t>
      </text>
    </comment>
    <comment ref="B7" authorId="0" shapeId="0">
      <text>
        <t>Age
start_age + cycle.
Formula of the first year:
=start_age+A9</t>
      </text>
    </comment>
    <comment ref="C7" authorId="0" shapeId="0">
      <text>
        <t>Age group
The row of table 7 of Inputs that this age falls in. MATCH(...,1) finds the last "From age" that is not above this age.
Formula of the first year:
=INDEX(age_band_label,MATCH(B9,age_band_start,1))</t>
      </text>
    </comment>
    <comment ref="D7" authorId="0" shapeId="0">
      <text>
        <t>Death from other causes
Looked up from table 7 of Inputs for this age.
Formula of the first year:
=INDEX(p_background_death,MATCH(B9,age_band_start,1))</t>
      </text>
    </comment>
    <comment ref="E7" authorId="0" shapeId="0">
      <text>
        <t>Cancer starts (if healthy)
Looked up from table 7 of Inputs for this age.
Formula of the first year:
=INDEX(p_cancer_onset,MATCH(B9,age_band_start,1))</t>
      </text>
    </comment>
    <comment ref="F7" authorId="0" shapeId="0">
      <text>
        <t>Screening offered? (1 = yes)
1 if this strategy screens at this age, 0 otherwise (see rows 2-3 at the top).
Formula of the first year:
=IF(AND($B$3="Yes",B9&gt;=$E$3,B9&lt;=$H$3),1,0)</t>
      </text>
    </comment>
    <comment ref="G7" authorId="0" shapeId="0">
      <text>
        <t>Screened this year
Probability that a person is screened this year: the participation if screening is offered, else 0.
Formula of the first year:
=F9*screen_participation</t>
      </text>
    </comment>
    <comment ref="H7" authorId="0" shapeId="0">
      <text>
        <t>Early cancer detected this year
An early cancer stays hidden only if symptoms do not reveal it AND screening misses it (not screened, or screened with a false negative). So:
1 - (1 - p_detect_symptoms) x (1 - screened x sensitivity).
Formula of the first year:
=1-(1-p_detect_symptoms)*(1-G9*screen_sensitivity)</t>
      </text>
    </comment>
    <comment ref="I7" authorId="0" shapeId="0">
      <text>
        <t>Healthy → Healthy
Whatever is left of the Healthy row: 1 minus the other probabilities of the row.
Formula of the first year:
=1-J9-K9</t>
      </text>
    </comment>
    <comment ref="J7" authorId="0" shapeId="0">
      <text>
        <t>Healthy → Early
Survives other causes AND develops cancer: (1 - other causes) x cancer starts.
Formula of the first year:
=(1-D9)*E9</t>
      </text>
    </comment>
    <comment ref="K7" authorId="0" shapeId="0">
      <text>
        <t>Healthy → Dead
Death from other causes.
Formula of the first year:
=D9</t>
      </text>
    </comment>
    <comment ref="L7" authorId="0" shapeId="0">
      <text>
        <t>Early → Healthy
Survives AND is detected AND treatment cures it.
Formula of the first year:
=(1-D9)*H9*p_cure_early</t>
      </text>
    </comment>
    <comment ref="M7" authorId="0" shapeId="0">
      <text>
        <t>Early → Early
Survives AND is not detected AND does not progress.
Formula of the first year:
=(1-D9)*(1-H9)*(1-p_progression)</t>
      </text>
    </comment>
    <comment ref="N7" authorId="0" shapeId="0">
      <text>
        <t>Early → Advanced
Survives AND either (is detected but treatment fails) or (is not detected and progresses).
Formula of the first year:
=(1-D9)*(H9*(1-p_cure_early)+(1-H9)*p_progression)</t>
      </text>
    </comment>
    <comment ref="O7" authorId="0" shapeId="0">
      <text>
        <t>Early → Dead
Death from other causes. (An early cancer does not kill.)
Formula of the first year:
=D9</t>
      </text>
    </comment>
    <comment ref="P7" authorId="0" shapeId="0">
      <text>
        <t>Advanced → Advanced
Whatever is left of the Advanced row.
Formula of the first year:
=1-Q9</t>
      </text>
    </comment>
    <comment ref="Q7" authorId="0" shapeId="0">
      <text>
        <t>Advanced → Dead
Dies of either cause: 1 minus the chance of surviving both.
Dead → Dead is always 1, so it has no column.
Formula of the first year:
=1-(1-D9)*(1-p_death_advanced)</t>
      </text>
    </comment>
    <comment ref="R7" authorId="0" shapeId="0">
      <text>
        <t>Healthy
Last year's Healthy who stayed + last year's Early who were cured.
Each state of this year = SUM over last year's states of (people x probability of moving here), i.e. last year's row multiplied by last year's transition matrix. Everyone starts here.
Formula of the first year:
=cohort_size
Formula of the next years:
=R9*I9+S9*L9</t>
      </text>
    </comment>
    <comment ref="S7" authorId="0" shapeId="0">
      <text>
        <t>Early cancer
Last year's Healthy who developed cancer + last year's Early who stayed Early.
Formula of the first year:
0
Formula of the next years:
=R9*J9+S9*M9</t>
      </text>
    </comment>
    <comment ref="T7" authorId="0" shapeId="0">
      <text>
        <t>Advanced cancer
Last year's Early who progressed + last year's Advanced who survived.
Formula of the first year:
0
Formula of the next years:
=S9*N9+T9*P9</t>
      </text>
    </comment>
    <comment ref="U7" authorId="0" shapeId="0">
      <text>
        <t>Dead
Everyone who was already dead + those who died last year from each state.
Formula of the first year:
0
Formula of the next years:
=U9+R9*K9+S9*O9+T9*Q9</t>
      </text>
    </comment>
    <comment ref="V7" authorId="0" shapeId="0">
      <text>
        <t>Alive
Healthy + Early + Advanced. Each alive person lives one life year this cycle.
Formula of the first year:
=R9+S9+T9</t>
      </text>
    </comment>
    <comment ref="W7" authorId="0" shapeId="0">
      <text>
        <t>New cancers
Healthy people who develop an early cancer this year (most are not diagnosed yet).
Formula of the first year:
=R9*J9</t>
      </text>
    </comment>
    <comment ref="X7" authorId="0" shapeId="0">
      <text>
        <t>Diagnosed early
Early cancers found this year by symptoms or screening, and treated.
Formula of the first year:
=S9*(1-D9)*H9</t>
      </text>
    </comment>
    <comment ref="Y7" authorId="0" shapeId="0">
      <text>
        <t>Diagnosed advanced
Early cancers that were missed and became advanced: diagnosed late.
Formula of the first year:
=S9*(1-D9)*(1-H9)*p_progression</t>
      </text>
    </comment>
    <comment ref="Z7" authorId="0" shapeId="0">
      <text>
        <t>All diagnoses
Cancers diagnosed this year, at either stage.
Formula of the first year:
=X9+Y9</t>
      </text>
    </comment>
    <comment ref="AA7" authorId="0" shapeId="0">
      <text>
        <t>Cancer deaths
People with advanced cancer who die of it this year.
Formula of the first year:
=T9*(1-D9)*p_death_advanced</t>
      </text>
    </comment>
    <comment ref="AB7" authorId="0" shapeId="0">
      <text>
        <t>Screening tests
Healthy and Early people (nobody knows who has an early cancer) x probability of being screened.
Formula of the first year:
=(R9+S9)*G9</t>
      </text>
    </comment>
    <comment ref="AC7" authorId="0" shapeId="0">
      <text>
        <t>Follow-up tests
Positive tests: false positives among the healthy + true positives among early cancers.
Formula of the first year:
=G9*(R9*(1-screen_specificity)+S9*screen_sensitivity)</t>
      </text>
    </comment>
    <comment ref="AD7" authorId="0" shapeId="0">
      <text>
        <t>Screening
Screening tests + follow-up tests.
Formula of the first year:
=AB9*cost_screen_test+AC9*cost_followup_test</t>
      </text>
    </comment>
    <comment ref="AE7" authorId="0" shapeId="0">
      <text>
        <t>Early treatment
One-off cost for each early cancer diagnosed this year.
Formula of the first year:
=X9*cost_early_treatment</t>
      </text>
    </comment>
    <comment ref="AF7" authorId="0" shapeId="0">
      <text>
        <t>Advanced treatment
A year of treatment for each person with advanced cancer.
Formula of the first year:
=T9*cost_advanced_year</t>
      </text>
    </comment>
    <comment ref="AG7" authorId="0" shapeId="0">
      <text>
        <t>Total cost
Sum of the three.
Formula of the first year:
=AD9+AE9+AF9</t>
      </text>
    </comment>
    <comment ref="AH7" authorId="0" shapeId="0">
      <text>
        <t>Life years
One year lived by each person alive.
Formula of the first year:
=V9</t>
      </text>
    </comment>
    <comment ref="AI7" authorId="0" shapeId="0">
      <text>
        <t>QALYs
Each person alive lives a year weighted by the utility of their state.
Formula of the first year:
=R9*u_healthy+S9*u_early+T9*u_advanced</t>
      </text>
    </comment>
    <comment ref="AJ7" authorId="0" shapeId="0">
      <text>
        <t>Discount factor (costs)
1 / (1 + rate)^cycle: what a cost of 1 in this year is worth today.
Formula of the first year:
=1/(1+disc_costs)^A9</t>
      </text>
    </comment>
    <comment ref="AK7" authorId="0" shapeId="0">
      <text>
        <t>Discount factor (health)
The same with the rate for health effects.
Formula of the first year:
=1/(1+disc_effects)^A9</t>
      </text>
    </comment>
    <comment ref="AL7" authorId="0" shapeId="0">
      <text>
        <t>Discounted cost
Total cost x discount factor.
Formula of the first year:
=AG9*AJ9</t>
      </text>
    </comment>
    <comment ref="AM7" authorId="0" shapeId="0">
      <text>
        <t>Discounted QALYs
QALYs x discount factor.
Formula of the first year:
=AI9*AK9</t>
      </text>
    </comment>
    <comment ref="AN7" authorId="0" shapeId="0">
      <text>
        <t>Discounted life years
Life years x discount factor.
Formula of the first year:
=AH9*AK9</t>
      </text>
    </comment>
    <comment ref="AO7" authorId="0" shapeId="0">
      <text>
        <t>Check
OK if nobody was lost or created (alive + dead = cohort size) and every transition probability is between 0 and 1. If you see CHECK, an input makes the model impossible.
Formula of the first year:
=IF(AND(ABS(V9+U9-cohort_size)&lt;0.000001*cohort_size,MIN(I9:Q9)&gt;=0,MAX(I9:Q9)&lt;=1),"OK","CHECK")</t>
      </text>
    </comment>
  </commentList>
</comments>
</file>

<file path=xl/comments/comment5.xml><?xml version="1.0" encoding="utf-8"?>
<comments xmlns="http://schemas.openxmlformats.org/spreadsheetml/2006/main">
  <authors>
    <author>Model</author>
  </authors>
  <commentList>
    <comment ref="B6" authorId="0" shapeId="0">
      <text>
        <t>Position of the age in the Age column of the Trace sheets (1 = first year). The cells below use INDEX to take that row from the Trace sheet of the chosen strategy, and CHOOSE to pick the sheet.</t>
      </text>
    </comment>
  </commentList>
</comments>
</file>

<file path=xl/comments/comment6.xml><?xml version="1.0" encoding="utf-8"?>
<comments xmlns="http://schemas.openxmlformats.org/spreadsheetml/2006/main">
  <authors>
    <author>Model</author>
  </authors>
  <commentList>
    <comment ref="G7" authorId="0" shapeId="0">
      <text>
        <t>QALYs x willingness to pay - cost. It turns health into money at the threshold. The strategy with the highest net monetary benefit is the cost-effective one.</t>
      </text>
    </comment>
    <comment ref="E13" authorId="0" shapeId="0">
      <text>
        <t>Extra QALYs x 365: the gain of one person expressed as days in full health. Screening gains look small per person because most people never get cancer.</t>
      </text>
    </comment>
    <comment ref="F13" authorId="0" shapeId="0">
      <text>
        <t>Incremental cost-effectiveness ratio = extra cost / extra QALYs.
"Dominant": cheaper and at least as good as strategy 1.
"Dominated": more expensive and no better.</t>
      </text>
    </comment>
    <comment ref="E19" authorId="0" shapeId="0">
      <text>
        <t>Dominated: another strategy costs less (or the same) and gives more QALYs.
Extendedly dominated: a mix of the strategies on either side would be better, which shows as its ICER being higher than the ICER of the next, more expensive strategy.
On frontier: worth considering. Its ICER compares it with the previous strategy on the frontier.</t>
      </text>
    </comment>
    <comment ref="C26" authorId="0" shapeId="0">
      <text>
        <t>Each year's cost x that year's discount factor, summed over the years. SUMPRODUCT multiplies two columns cell by cell and adds the results.</t>
      </text>
    </comment>
    <comment ref="J32" authorId="0" shapeId="0">
      <text>
        <t>Extra screening tests compared with strategy 1, divided by the cancer deaths avoided compared with strategy 1: how much screening it takes to prevent one death.</t>
      </text>
    </comment>
    <comment ref="C38" authorId="0" shapeId="0">
      <text>
        <t>Cancers diagnosed (early or advanced) in the age group / years lived by the people alive in it x 100,000. This is what cancer registries report, so it is the kind of number used to calibrate a model. Screening raises it at first, because it finds cancers that were already there.</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31</row>
      <rowOff>0</rowOff>
    </from>
    <ext cx="6240780" cy="3053524"/>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3</row>
      <rowOff>0</rowOff>
    </from>
    <ext cx="6120000" cy="3240000"/>
    <graphicFrame>
      <nvGraphicFramePr>
        <cNvPr id="1" name="Chart 1"/>
        <cNvGraphicFramePr/>
      </nvGraphicFramePr>
      <xfrm/>
      <a:graphic>
        <a:graphicData uri="http://schemas.openxmlformats.org/drawingml/2006/chart">
          <c:chart r:id="rId1"/>
        </a:graphicData>
      </a:graphic>
    </graphicFrame>
    <clientData/>
  </oneCellAnchor>
  <oneCellAnchor>
    <from>
      <col>11</col>
      <colOff>0</colOff>
      <row>3</row>
      <rowOff>0</rowOff>
    </from>
    <ext cx="6120000" cy="324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22</row>
      <rowOff>0</rowOff>
    </from>
    <ext cx="6120000" cy="3240000"/>
    <graphicFrame>
      <nvGraphicFramePr>
        <cNvPr id="3" name="Chart 3"/>
        <cNvGraphicFramePr/>
      </nvGraphicFramePr>
      <xfrm/>
      <a:graphic>
        <a:graphicData uri="http://schemas.openxmlformats.org/drawingml/2006/chart">
          <c:chart r:id="rId3"/>
        </a:graphicData>
      </a:graphic>
    </graphicFrame>
    <clientData/>
  </oneCellAnchor>
  <oneCellAnchor>
    <from>
      <col>11</col>
      <colOff>0</colOff>
      <row>22</row>
      <rowOff>0</rowOff>
    </from>
    <ext cx="6120000" cy="3240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41</row>
      <rowOff>0</rowOff>
    </from>
    <ext cx="6120000" cy="324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7.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8.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9.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tabColor rgb="001F4E79"/>
    <outlinePr summaryBelow="1" summaryRight="1"/>
    <pageSetUpPr/>
  </sheetPr>
  <dimension ref="B1:C76"/>
  <sheetViews>
    <sheetView showGridLines="0" workbookViewId="0">
      <selection activeCell="A1" sqref="A1"/>
    </sheetView>
  </sheetViews>
  <sheetFormatPr baseColWidth="8" defaultRowHeight="15"/>
  <cols>
    <col width="3" customWidth="1" min="1" max="1"/>
    <col width="30" customWidth="1" min="2" max="2"/>
    <col width="100" customWidth="1" min="3" max="3"/>
  </cols>
  <sheetData>
    <row r="1" ht="28" customHeight="1">
      <c r="B1" s="1" t="inlineStr">
        <is>
          <t>Cancer screening: a teaching cost-effectiveness model</t>
        </is>
      </c>
    </row>
    <row r="2">
      <c r="B2" s="2" t="inlineStr">
        <is>
          <t>A Markov cohort model of a hypothetical cancer that you can read, change and break. All numbers are illustrative: they are not real data and the results should not be used for real decisions.</t>
        </is>
      </c>
    </row>
    <row r="4" ht="22" customHeight="1">
      <c r="B4" s="3" t="inlineStr">
        <is>
          <t>What this workbook does</t>
        </is>
      </c>
    </row>
    <row r="5" ht="84" customHeight="1">
      <c r="B5" s="4" t="inlineStr">
        <is>
          <t>It follows a group of 100,000 people (a cohort) from age 40, one year per row, for 60 years. Each year it counts how many people are healthy, have an early or an advanced cancer, or have died. It does this for three strategies: no screening, and a yearly screening test from age 50 or from age 45 until 74. The cancer, the test and the treatments are generic: they stand for any cancer that can be found early by screening and is easier to cure when it is. For each strategy it adds up the costs and the quality-adjusted life years (QALYs), and then compares the strategies as a cost-effectiveness analysis (CEA) does.</t>
        </is>
      </c>
    </row>
    <row r="7" ht="22" customHeight="1">
      <c r="B7" s="3" t="inlineStr">
        <is>
          <t>How to use it</t>
        </is>
      </c>
    </row>
    <row r="8" ht="16.5" customHeight="1">
      <c r="B8" s="5" t="inlineStr">
        <is>
          <t>Step 1</t>
        </is>
      </c>
      <c r="C8" s="4" t="inlineStr">
        <is>
          <t>Look at the diagram below and read "How it works" to understand the model.</t>
        </is>
      </c>
    </row>
    <row r="9" ht="16.5" customHeight="1">
      <c r="B9" s="5" t="inlineStr">
        <is>
          <t>Step 2</t>
        </is>
      </c>
      <c r="C9" s="4" t="inlineStr">
        <is>
          <t>Change any blue cell on yellow in the Inputs sheet, for example the price of the test.</t>
        </is>
      </c>
    </row>
    <row r="10" ht="16.5" customHeight="1">
      <c r="B10" s="5" t="inlineStr">
        <is>
          <t>Step 3</t>
        </is>
      </c>
      <c r="C10" s="4" t="inlineStr">
        <is>
          <t>Look at Results and Charts: everything recalculates at once.</t>
        </is>
      </c>
    </row>
    <row r="11" ht="30" customHeight="1">
      <c r="B11" s="5" t="inlineStr">
        <is>
          <t>Step 4</t>
        </is>
      </c>
      <c r="C11" s="4" t="inlineStr">
        <is>
          <t>Open a Trace sheet to follow, row by row, how each year is calculated from the year before. Hover over a column header for an explanation, or click a cell to read its formula.</t>
        </is>
      </c>
    </row>
    <row r="12" ht="16.5" customHeight="1">
      <c r="B12" s="5" t="inlineStr">
        <is>
          <t>Step 5</t>
        </is>
      </c>
      <c r="C12" s="4" t="inlineStr">
        <is>
          <t>Use the Transition matrix sheet to see the matrix of any year and how it moves the cohort.</t>
        </is>
      </c>
    </row>
    <row r="13" ht="30" customHeight="1">
      <c r="B13" s="5" t="inlineStr">
        <is>
          <t>Step 6</t>
        </is>
      </c>
      <c r="C13" s="4" t="inlineStr">
        <is>
          <t>To go back to the original values, copy the "Base case" column of Inputs into the "Value" column.</t>
        </is>
      </c>
    </row>
    <row r="15" ht="22" customHeight="1">
      <c r="B15" s="3" t="inlineStr">
        <is>
          <t>Colour code</t>
        </is>
      </c>
    </row>
    <row r="16">
      <c r="B16" s="6" t="n">
        <v>0.25</v>
      </c>
      <c r="C16" s="7" t="inlineStr">
        <is>
          <t>An input: change it freely. Data validation stops values that make no sense.</t>
        </is>
      </c>
    </row>
    <row r="17">
      <c r="B17" s="8" t="n">
        <v>0.25</v>
      </c>
      <c r="C17" s="7" t="inlineStr">
        <is>
          <t>A calculation (formula) in the same sheet. Do not type over it.</t>
        </is>
      </c>
    </row>
    <row r="18">
      <c r="B18" s="9" t="n">
        <v>0.25</v>
      </c>
      <c r="C18" s="7" t="inlineStr">
        <is>
          <t>A value taken from another sheet.</t>
        </is>
      </c>
    </row>
    <row r="19">
      <c r="B19" s="10" t="inlineStr">
        <is>
          <t>OK</t>
        </is>
      </c>
      <c r="C19" s="7" t="inlineStr">
        <is>
          <t>A check. It shows CHECK or PROBLEM when an input makes the model impossible.</t>
        </is>
      </c>
    </row>
    <row r="21" ht="22" customHeight="1">
      <c r="B21" s="3" t="inlineStr">
        <is>
          <t>The sheets</t>
        </is>
      </c>
    </row>
    <row r="22" ht="16.5" customHeight="1">
      <c r="B22" s="5" t="inlineStr">
        <is>
          <t>Start here</t>
        </is>
      </c>
      <c r="C22" s="4" t="inlineStr">
        <is>
          <t>This page.</t>
        </is>
      </c>
    </row>
    <row r="23" ht="30" customHeight="1">
      <c r="B23" s="5" t="inlineStr">
        <is>
          <t>How it works</t>
        </is>
      </c>
      <c r="C23" s="4" t="inlineStr">
        <is>
          <t>The model step by step: states, transition probabilities, costs, QALYs, discounting and how strategies are compared.</t>
        </is>
      </c>
    </row>
    <row r="24" ht="16.5" customHeight="1">
      <c r="B24" s="5" t="inlineStr">
        <is>
          <t>Inputs</t>
        </is>
      </c>
      <c r="C24" s="4" t="inlineStr">
        <is>
          <t>Every number the model uses, with what it means. The only sheet you need to edit.</t>
        </is>
      </c>
    </row>
    <row r="25" ht="30" customHeight="1">
      <c r="B25" s="5" t="inlineStr">
        <is>
          <t>Trace 1, 2, 3</t>
        </is>
      </c>
      <c r="C25" s="4" t="inlineStr">
        <is>
          <t>The Markov trace of each strategy: one row per year, with the probabilities, the transition matrix, the people in each state, the events, costs and QALYs of that year.</t>
        </is>
      </c>
    </row>
    <row r="26" ht="16.5" customHeight="1">
      <c r="B26" s="5" t="inlineStr">
        <is>
          <t>Transition matrix</t>
        </is>
      </c>
      <c r="C26" s="4" t="inlineStr">
        <is>
          <t>The transition matrix of a chosen year, shown as a matrix.</t>
        </is>
      </c>
    </row>
    <row r="27" ht="30" customHeight="1">
      <c r="B27" s="5" t="inlineStr">
        <is>
          <t>Results</t>
        </is>
      </c>
      <c r="C27" s="4" t="inlineStr">
        <is>
          <t>Costs, QALYs, ICERs, the efficiency frontier, the cost-effective strategy, cancer outcomes and incidence by age.</t>
        </is>
      </c>
    </row>
    <row r="28" ht="16.5" customHeight="1">
      <c r="B28" s="5" t="inlineStr">
        <is>
          <t>Charts</t>
        </is>
      </c>
      <c r="C28" s="4" t="inlineStr">
        <is>
          <t>Cost-effectiveness plane, incidence by age and the cohort over time.</t>
        </is>
      </c>
    </row>
    <row r="29" ht="16.5" customHeight="1">
      <c r="B29" s="5" t="inlineStr">
        <is>
          <t>Interface</t>
        </is>
      </c>
      <c r="C29" s="4" t="inlineStr">
        <is>
          <t>For programs that run the workbook: which cells are its inputs and results. You do not need it.</t>
        </is>
      </c>
    </row>
    <row r="31" ht="22" customHeight="1">
      <c r="B31" s="3" t="inlineStr">
        <is>
          <t>The model</t>
        </is>
      </c>
    </row>
    <row r="50" ht="22" customHeight="1">
      <c r="B50" s="3" t="inlineStr">
        <is>
          <t>Key ideas</t>
        </is>
      </c>
    </row>
    <row r="51" ht="30" customHeight="1">
      <c r="B51" s="5" t="inlineStr">
        <is>
          <t>Markov cohort model</t>
        </is>
      </c>
      <c r="C51" s="4" t="inlineStr">
        <is>
          <t>Instead of simulating people one by one, it tracks how many people of a group are in each health state, and moves them between states once per cycle.</t>
        </is>
      </c>
    </row>
    <row r="52" ht="16.5" customHeight="1">
      <c r="B52" s="5" t="inlineStr">
        <is>
          <t>Cycle</t>
        </is>
      </c>
      <c r="C52" s="4" t="inlineStr">
        <is>
          <t>The time step of the model: here one year, so one row of a Trace sheet.</t>
        </is>
      </c>
    </row>
    <row r="53" ht="30" customHeight="1">
      <c r="B53" s="5" t="inlineStr">
        <is>
          <t>Transition probability</t>
        </is>
      </c>
      <c r="C53" s="4" t="inlineStr">
        <is>
          <t>The chance of moving from one state to another in one cycle, for example from Healthy to Early cancer.</t>
        </is>
      </c>
    </row>
    <row r="54" ht="43.5" customHeight="1">
      <c r="B54" s="5" t="inlineStr">
        <is>
          <t>Transition matrix</t>
        </is>
      </c>
      <c r="C54" s="4" t="inlineStr">
        <is>
          <t>All the transition probabilities in a table: one row per state now, one column per state a year later. Each row adds up to 1. Here it changes with age and with screening, so each row of a Trace sheet has its own.</t>
        </is>
      </c>
    </row>
    <row r="55" ht="16.5" customHeight="1">
      <c r="B55" s="5" t="inlineStr">
        <is>
          <t>Markov trace</t>
        </is>
      </c>
      <c r="C55" s="4" t="inlineStr">
        <is>
          <t>The number of people in each state, cycle after cycle.</t>
        </is>
      </c>
    </row>
    <row r="56" ht="30" customHeight="1">
      <c r="B56" s="5" t="inlineStr">
        <is>
          <t>Utility and QALY</t>
        </is>
      </c>
      <c r="C56" s="4" t="inlineStr">
        <is>
          <t>A utility weights a year by its quality of life (1 = full health, 0 = dead). A quality-adjusted life year (QALY) is a year lived times its utility.</t>
        </is>
      </c>
    </row>
    <row r="57" ht="30" customHeight="1">
      <c r="B57" s="5" t="inlineStr">
        <is>
          <t>Discounting</t>
        </is>
      </c>
      <c r="C57" s="4" t="inlineStr">
        <is>
          <t>Costs and health in the future are valued less than now. A value in year t is multiplied by 1 / (1 + rate)^t.</t>
        </is>
      </c>
    </row>
    <row r="58" ht="30" customHeight="1">
      <c r="B58" s="5" t="inlineStr">
        <is>
          <t>ICER</t>
        </is>
      </c>
      <c r="C58" s="4" t="inlineStr">
        <is>
          <t>Incremental cost-effectiveness ratio: the extra cost of a strategy divided by the extra QALYs it gives, compared with an alternative. "€ per QALY gained".</t>
        </is>
      </c>
    </row>
    <row r="59" ht="30" customHeight="1">
      <c r="B59" s="5" t="inlineStr">
        <is>
          <t>Willingness to pay</t>
        </is>
      </c>
      <c r="C59" s="4" t="inlineStr">
        <is>
          <t>The threshold: the most a health system pays per QALY gained. A strategy with an ICER below it is considered cost-effective.</t>
        </is>
      </c>
    </row>
    <row r="60" ht="30" customHeight="1">
      <c r="B60" s="5" t="inlineStr">
        <is>
          <t>Dominance</t>
        </is>
      </c>
      <c r="C60" s="4" t="inlineStr">
        <is>
          <t>A strategy is dominated if another one is cheaper and gives more QALYs. It is extendedly dominated if a mix of two others would beat it.</t>
        </is>
      </c>
    </row>
    <row r="61" ht="30" customHeight="1">
      <c r="B61" s="5" t="inlineStr">
        <is>
          <t>Efficiency frontier</t>
        </is>
      </c>
      <c r="C61" s="4" t="inlineStr">
        <is>
          <t>The strategies that are not dominated, sorted by cost. ICERs are calculated along it, each strategy against the previous one.</t>
        </is>
      </c>
    </row>
    <row r="62" ht="30" customHeight="1">
      <c r="B62" s="5" t="inlineStr">
        <is>
          <t>Net monetary benefit</t>
        </is>
      </c>
      <c r="C62" s="4" t="inlineStr">
        <is>
          <t>QALYs x willingness to pay - cost. The strategy with the highest one is the cost-effective choice; it always agrees with the frontier.</t>
        </is>
      </c>
    </row>
    <row r="64" ht="22" customHeight="1">
      <c r="B64" s="3" t="inlineStr">
        <is>
          <t>Things to try</t>
        </is>
      </c>
    </row>
    <row r="65" ht="30" customHeight="1">
      <c r="B65" s="5" t="inlineStr">
        <is>
          <t>Exercise 1</t>
        </is>
      </c>
      <c r="C65" s="4" t="inlineStr">
        <is>
          <t>Set screening participation to 100%. How many more cancer deaths are avoided (Results, section 5)? Does the ICER of screening get better or worse?</t>
        </is>
      </c>
    </row>
    <row r="66" ht="30" customHeight="1">
      <c r="B66" s="5" t="inlineStr">
        <is>
          <t>Exercise 2</t>
        </is>
      </c>
      <c r="C66" s="4" t="inlineStr">
        <is>
          <t>Strategy 3 (from 45) is just above the willingness to pay. Raise the willingness to pay until it becomes the cost-effective strategy. Compare your answer with its ICER in Results, section 3.</t>
        </is>
      </c>
    </row>
    <row r="67" ht="30" customHeight="1">
      <c r="B67" s="5" t="inlineStr">
        <is>
          <t>Exercise 3</t>
        </is>
      </c>
      <c r="C67" s="4" t="inlineStr">
        <is>
          <t>Set both discount rates to 0%. Why does screening look better? (Hint: when are its costs paid, and when are its benefits enjoyed?)</t>
        </is>
      </c>
    </row>
    <row r="68" ht="30" customHeight="1">
      <c r="B68" s="5" t="inlineStr">
        <is>
          <t>Exercise 4</t>
        </is>
      </c>
      <c r="C68" s="4" t="inlineStr">
        <is>
          <t>Make the test perfect (sensitivity and specificity 100%). What happens to the cost of screening (Results, section 4), and to the status of "No screening" in section 3? Why?</t>
        </is>
      </c>
    </row>
    <row r="69" ht="30" customHeight="1">
      <c r="B69" s="5" t="inlineStr">
        <is>
          <t>Exercise 5</t>
        </is>
      </c>
      <c r="C69" s="4" t="inlineStr">
        <is>
          <t>Put the test back as it was and raise the yearly cost of treating advanced cancer. How high must it be for screening from 50 to become "Dominant" (cheaper and better) in Results, section 2?</t>
        </is>
      </c>
    </row>
    <row r="70" ht="30" customHeight="1">
      <c r="B70" s="5" t="inlineStr">
        <is>
          <t>Exercise 6</t>
        </is>
      </c>
      <c r="C70" s="4" t="inlineStr">
        <is>
          <t>Open Trace 2 and look at age 50, when screening starts. What happens to the number of people with early cancer, and to diagnoses? Section 6 of Results shows the same in incidence.</t>
        </is>
      </c>
    </row>
    <row r="71" ht="30" customHeight="1">
      <c r="B71" s="5" t="inlineStr">
        <is>
          <t>Exercise 7</t>
        </is>
      </c>
      <c r="C71" s="4" t="inlineStr">
        <is>
          <t>Change strategy 3 to screen from 40 to 84. Is it still on the efficiency frontier? Is it cost-effective?</t>
        </is>
      </c>
    </row>
    <row r="72" ht="43.5" customHeight="1">
      <c r="B72" s="5" t="inlineStr">
        <is>
          <t>Exercise 8</t>
        </is>
      </c>
      <c r="C72" s="4" t="inlineStr">
        <is>
          <t>Make strategy 2 a short programme that screens only from 50 to 52. Why does it become "Extendedly dominated" in Results, section 3? (Hint: compare its ICER with that of strategy 3.) Then try 70 to 74 instead: why is a short programme at the end of the age range so efficient?</t>
        </is>
      </c>
    </row>
    <row r="73" ht="30" customHeight="1">
      <c r="B73" s="5" t="inlineStr">
        <is>
          <t>Exercise 9</t>
        </is>
      </c>
      <c r="C73" s="4" t="inlineStr">
        <is>
          <t>Set the probability that treatment cures an early cancer to 0%. What is left of the value of screening?</t>
        </is>
      </c>
    </row>
    <row r="75" ht="22" customHeight="1">
      <c r="B75" s="3" t="inlineStr">
        <is>
          <t>About</t>
        </is>
      </c>
    </row>
    <row r="76" ht="43.5" customHeight="1">
      <c r="B76" s="4" t="inlineStr">
        <is>
          <t>Built as an example of a cost-effectiveness model in a spreadsheet. It works in Excel and LibreOffice Calc, uses no macros, and every result is a formula you can inspect. The structure and the shortcuts taken are listed at the end of "How it works".</t>
        </is>
      </c>
    </row>
  </sheetData>
  <mergeCells count="2">
    <mergeCell ref="B5:C5"/>
    <mergeCell ref="B76:C76"/>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1F4E79"/>
    <outlinePr summaryBelow="1" summaryRight="1"/>
    <pageSetUpPr/>
  </sheetPr>
  <dimension ref="B1:C54"/>
  <sheetViews>
    <sheetView showGridLines="0" workbookViewId="0">
      <selection activeCell="A1" sqref="A1"/>
    </sheetView>
  </sheetViews>
  <sheetFormatPr baseColWidth="8" defaultRowHeight="15"/>
  <cols>
    <col width="3" customWidth="1" min="1" max="1"/>
    <col width="30" customWidth="1" min="2" max="2"/>
    <col width="100" customWidth="1" min="3" max="3"/>
  </cols>
  <sheetData>
    <row r="1" ht="28" customHeight="1">
      <c r="B1" s="1" t="inlineStr">
        <is>
          <t>How the model works</t>
        </is>
      </c>
    </row>
    <row r="3" ht="22" customHeight="1">
      <c r="B3" s="3" t="inlineStr">
        <is>
          <t>1. The health states</t>
        </is>
      </c>
    </row>
    <row r="4" ht="16.5" customHeight="1">
      <c r="B4" s="5" t="inlineStr">
        <is>
          <t>Healthy</t>
        </is>
      </c>
      <c r="C4" s="4" t="inlineStr">
        <is>
          <t>No cancer. Everyone starts here.</t>
        </is>
      </c>
    </row>
    <row r="5" ht="30" customHeight="1">
      <c r="B5" s="5" t="inlineStr">
        <is>
          <t>Early cancer</t>
        </is>
      </c>
      <c r="C5" s="4" t="inlineStr">
        <is>
          <t>A small cancer that causes few or no symptoms and has not been diagnosed. This is the state screening is looking for: treated now, it is usually cured.</t>
        </is>
      </c>
    </row>
    <row r="6" ht="30" customHeight="1">
      <c r="B6" s="5" t="inlineStr">
        <is>
          <t>Advanced cancer</t>
        </is>
      </c>
      <c r="C6" s="4" t="inlineStr">
        <is>
          <t>A cancer that has grown. It causes symptoms, so it is diagnosed, and it is treated every year, but people with it have a high chance of dying of it.</t>
        </is>
      </c>
    </row>
    <row r="7" ht="16.5" customHeight="1">
      <c r="B7" s="5" t="inlineStr">
        <is>
          <t>Dead</t>
        </is>
      </c>
      <c r="C7" s="4" t="inlineStr">
        <is>
          <t>From any cause. Nobody leaves this state (it is "absorbing").</t>
        </is>
      </c>
    </row>
    <row r="9" ht="22" customHeight="1">
      <c r="B9" s="3" t="inlineStr">
        <is>
          <t>2. What happens in one year</t>
        </is>
      </c>
    </row>
    <row r="10" ht="57" customHeight="1">
      <c r="B10" s="4" t="inlineStr">
        <is>
          <t>At the start of each year the model counts the people in each state. Those people determine the costs and QALYs of the year. Then, during the year, people move between states according to the transition probabilities of that year, which gives the people at the start of the next year. The probabilities depend on age (from the table in Inputs) and on whether the strategy screens at that age.</t>
        </is>
      </c>
    </row>
    <row r="11" ht="30" customHeight="1">
      <c r="B11" s="4" t="inlineStr">
        <is>
          <t>Within a year, death from other causes comes first; the cancer events happen to those who survive it. That is why many formulas start with (1 - death from other causes).</t>
        </is>
      </c>
    </row>
    <row r="13" ht="22" customHeight="1">
      <c r="B13" s="3" t="inlineStr">
        <is>
          <t>3. The transition probabilities</t>
        </is>
      </c>
    </row>
    <row r="14" ht="70.5" customHeight="1">
      <c r="B14" s="4" t="inlineStr">
        <is>
          <t>Probability that an early cancer is detected in a year:
    detected = 1 - (1 - p_detect_symptoms) x (1 - screened x screen_sensitivity)
where screened = screen_participation if the strategy screens at this age, and 0 otherwise. An early cancer stays hidden only if symptoms do not reveal it and screening misses it, so the chance of being found is 1 minus the chance that both miss it. This is the only place where screening changes the course of the disease.</t>
        </is>
      </c>
    </row>
    <row r="15" ht="30" customHeight="1">
      <c r="B15" s="11" t="inlineStr">
        <is>
          <t>Write p_bg for the probability of death from other causes at this age and p_onset for the probability of cancer starting. Then:</t>
        </is>
      </c>
    </row>
    <row r="16" ht="16.5" customHeight="1">
      <c r="B16" s="5" t="inlineStr">
        <is>
          <t>Healthy → Early cancer</t>
        </is>
      </c>
      <c r="C16" s="4" t="inlineStr">
        <is>
          <t>(1 - p_bg) x p_onset</t>
        </is>
      </c>
    </row>
    <row r="17" ht="16.5" customHeight="1">
      <c r="B17" s="5" t="inlineStr">
        <is>
          <t>Healthy → Dead</t>
        </is>
      </c>
      <c r="C17" s="4" t="inlineStr">
        <is>
          <t>p_bg</t>
        </is>
      </c>
    </row>
    <row r="18" ht="16.5" customHeight="1">
      <c r="B18" s="5" t="inlineStr">
        <is>
          <t>Healthy → Healthy</t>
        </is>
      </c>
      <c r="C18" s="4" t="inlineStr">
        <is>
          <t>1 - the two above</t>
        </is>
      </c>
    </row>
    <row r="19" ht="16.5" customHeight="1">
      <c r="B19" s="5" t="inlineStr">
        <is>
          <t>Early → Healthy</t>
        </is>
      </c>
      <c r="C19" s="4" t="inlineStr">
        <is>
          <t>(1 - p_bg) x detected x p_cure_early</t>
        </is>
      </c>
    </row>
    <row r="20" ht="16.5" customHeight="1">
      <c r="B20" s="5" t="inlineStr">
        <is>
          <t>Early → Advanced</t>
        </is>
      </c>
      <c r="C20" s="4" t="inlineStr">
        <is>
          <t>(1 - p_bg) x [detected x (1 - p_cure_early) + (1 - detected) x p_progression]</t>
        </is>
      </c>
    </row>
    <row r="21" ht="16.5" customHeight="1">
      <c r="B21" s="5" t="inlineStr">
        <is>
          <t>Early → Dead</t>
        </is>
      </c>
      <c r="C21" s="4" t="inlineStr">
        <is>
          <t>p_bg</t>
        </is>
      </c>
    </row>
    <row r="22" ht="16.5" customHeight="1">
      <c r="B22" s="5" t="inlineStr">
        <is>
          <t>Early → Early</t>
        </is>
      </c>
      <c r="C22" s="4" t="inlineStr">
        <is>
          <t>(1 - p_bg) x (1 - detected) x (1 - p_progression)</t>
        </is>
      </c>
    </row>
    <row r="23" ht="16.5" customHeight="1">
      <c r="B23" s="5" t="inlineStr">
        <is>
          <t>Advanced → Dead</t>
        </is>
      </c>
      <c r="C23" s="4" t="inlineStr">
        <is>
          <t>1 - (1 - p_bg) x (1 - p_death_advanced)</t>
        </is>
      </c>
    </row>
    <row r="24" ht="16.5" customHeight="1">
      <c r="B24" s="5" t="inlineStr">
        <is>
          <t>Advanced → Advanced</t>
        </is>
      </c>
      <c r="C24" s="4" t="inlineStr">
        <is>
          <t>1 - the one above</t>
        </is>
      </c>
    </row>
    <row r="25" ht="16.5" customHeight="1">
      <c r="B25" s="5" t="inlineStr">
        <is>
          <t>Dead → Dead</t>
        </is>
      </c>
      <c r="C25" s="4" t="inlineStr">
        <is>
          <t>1</t>
        </is>
      </c>
    </row>
    <row r="26" ht="30" customHeight="1">
      <c r="B26" s="4" t="inlineStr">
        <is>
          <t>Each row of the matrix adds up to 1. The orange columns of the Trace sheets hold these values for every year, and the Transition matrix sheet shows them as a matrix.</t>
        </is>
      </c>
    </row>
    <row r="28" ht="22" customHeight="1">
      <c r="B28" s="3" t="inlineStr">
        <is>
          <t>4. Moving the cohort</t>
        </is>
      </c>
    </row>
    <row r="29" ht="70.5" customHeight="1">
      <c r="B29" s="4" t="inlineStr">
        <is>
          <t>People next year in a state = sum over this year's states of (people in that state x probability of moving from it to this state). For example:
    Healthy next year = Healthy x (Healthy → Healthy) + Early x (Early → Healthy)
In matrix terms, the row of people next year is the row of people this year multiplied by the transition matrix. The green columns of the Trace sheets do exactly this.</t>
        </is>
      </c>
    </row>
    <row r="31" ht="22" customHeight="1">
      <c r="B31" s="3" t="inlineStr">
        <is>
          <t>5. Costs</t>
        </is>
      </c>
    </row>
    <row r="32" ht="57" customHeight="1">
      <c r="B32" s="5" t="inlineStr">
        <is>
          <t>Screening</t>
        </is>
      </c>
      <c r="C32" s="4" t="inlineStr">
        <is>
          <t>Tests: everyone alive without a diagnosed cancer (Healthy + Early) x the probability of being screened x cost_screen_test.
Follow-up tests after a positive screen: screened healthy people x (1 - specificity) + screened people with early cancer x sensitivity, x cost_followup_test.</t>
        </is>
      </c>
    </row>
    <row r="33" ht="16.5" customHeight="1">
      <c r="B33" s="5" t="inlineStr">
        <is>
          <t>Early treatment</t>
        </is>
      </c>
      <c r="C33" s="4" t="inlineStr">
        <is>
          <t>Early cancers diagnosed in the year x cost_early_treatment (paid once).</t>
        </is>
      </c>
    </row>
    <row r="34" ht="16.5" customHeight="1">
      <c r="B34" s="5" t="inlineStr">
        <is>
          <t>Advanced treatment</t>
        </is>
      </c>
      <c r="C34" s="4" t="inlineStr">
        <is>
          <t>People with advanced cancer x cost_advanced_year (paid every year).</t>
        </is>
      </c>
    </row>
    <row r="36" ht="22" customHeight="1">
      <c r="B36" s="3" t="inlineStr">
        <is>
          <t>6. Health outcomes</t>
        </is>
      </c>
    </row>
    <row r="37" ht="16.5" customHeight="1">
      <c r="B37" s="5" t="inlineStr">
        <is>
          <t>Life years</t>
        </is>
      </c>
      <c r="C37" s="4" t="inlineStr">
        <is>
          <t>Each person alive at the start of a year lives that year.</t>
        </is>
      </c>
    </row>
    <row r="38" ht="16.5" customHeight="1">
      <c r="B38" s="5" t="inlineStr">
        <is>
          <t>QALYs</t>
        </is>
      </c>
      <c r="C38" s="4" t="inlineStr">
        <is>
          <t>Healthy x u_healthy + Early x u_early + Advanced x u_advanced.</t>
        </is>
      </c>
    </row>
    <row r="39" ht="30" customHeight="1">
      <c r="B39" s="5" t="inlineStr">
        <is>
          <t>Discounting</t>
        </is>
      </c>
      <c r="C39" s="4" t="inlineStr">
        <is>
          <t>The cost and QALYs of year t (t = 0 the first year) are multiplied by 1 / (1 + rate)^t, with the rates of Inputs, section 6.</t>
        </is>
      </c>
    </row>
    <row r="40" ht="16.5" customHeight="1">
      <c r="B40" s="5" t="inlineStr">
        <is>
          <t>Per person</t>
        </is>
      </c>
      <c r="C40" s="4" t="inlineStr">
        <is>
          <t>Results divides the totals of the cohort by the cohort size.</t>
        </is>
      </c>
    </row>
    <row r="42" ht="22" customHeight="1">
      <c r="B42" s="3" t="inlineStr">
        <is>
          <t>7. Comparing the strategies</t>
        </is>
      </c>
    </row>
    <row r="43" ht="30" customHeight="1">
      <c r="B43" s="5" t="inlineStr">
        <is>
          <t>ICER</t>
        </is>
      </c>
      <c r="C43" s="4" t="inlineStr">
        <is>
          <t>(cost of A - cost of B) / (QALYs of A - QALYs of B): the price of each extra QALY that A buys compared with B.</t>
        </is>
      </c>
    </row>
    <row r="44" ht="43.5" customHeight="1">
      <c r="B44" s="5" t="inlineStr">
        <is>
          <t>Frontier</t>
        </is>
      </c>
      <c r="C44" s="4" t="inlineStr">
        <is>
          <t>Sort by cost. Remove strategies that are dominated (another costs less and gives more QALYs) and extendedly dominated (its ICER is higher than that of the next, more expensive strategy). Compare each remaining strategy with the previous one.</t>
        </is>
      </c>
    </row>
    <row r="45" ht="43.5" customHeight="1">
      <c r="B45" s="5" t="inlineStr">
        <is>
          <t>Decision</t>
        </is>
      </c>
      <c r="C45" s="4" t="inlineStr">
        <is>
          <t>The cost-effective strategy is the most effective one on the frontier whose ICER is below the willingness to pay. Equivalently, the one with the highest net monetary benefit (QALYs x willingness to pay - cost).</t>
        </is>
      </c>
    </row>
    <row r="47" ht="22" customHeight="1">
      <c r="B47" s="3" t="inlineStr">
        <is>
          <t>8. Shortcuts this model takes</t>
        </is>
      </c>
    </row>
    <row r="48" ht="43.5" customHeight="1">
      <c r="B48" s="5" t="inlineStr">
        <is>
          <t>•</t>
        </is>
      </c>
      <c r="C48" s="4" t="inlineStr">
        <is>
          <t>One-year cycles. Costs and QALYs are counted for the people at the start of each year, with no half-cycle correction, so the model slightly undercounts the time people spend in a state before leaving it.</t>
        </is>
      </c>
    </row>
    <row r="49" ht="43.5" customHeight="1">
      <c r="B49" s="5" t="inlineStr">
        <is>
          <t>•</t>
        </is>
      </c>
      <c r="C49" s="4" t="inlineStr">
        <is>
          <t>Screening only finds cancers that already exist. For some cancers, screening also finds precancerous lesions that can be removed, which prevents cancers; a model of those cancers would need a precancerous state.</t>
        </is>
      </c>
    </row>
    <row r="50" ht="16.5" customHeight="1">
      <c r="B50" s="5" t="inlineStr">
        <is>
          <t>•</t>
        </is>
      </c>
      <c r="C50" s="4" t="inlineStr">
        <is>
          <t>Cured people go back to Healthy and can develop a new cancer at the usual rate.</t>
        </is>
      </c>
    </row>
    <row r="51" ht="30" customHeight="1">
      <c r="B51" s="5" t="inlineStr">
        <is>
          <t>•</t>
        </is>
      </c>
      <c r="C51" s="4" t="inlineStr">
        <is>
          <t>Screening is yearly and participation is the same every year and random (some real people are always screened and others never are).</t>
        </is>
      </c>
    </row>
    <row r="52" ht="43.5" customHeight="1">
      <c r="B52" s="5" t="inlineStr">
        <is>
          <t>•</t>
        </is>
      </c>
      <c r="C52" s="4" t="inlineStr">
        <is>
          <t>Screening has no harms other than its costs. Real screening also causes complications of follow-up tests, anxiety after false positives and overdiagnosis (cancers that would never have caused harm), which would lower its QALYs.</t>
        </is>
      </c>
    </row>
    <row r="53" ht="16.5" customHeight="1">
      <c r="B53" s="5" t="inlineStr">
        <is>
          <t>•</t>
        </is>
      </c>
      <c r="C53" s="4" t="inlineStr">
        <is>
          <t>Utilities do not change with age, and advanced cancer has a constant risk of death.</t>
        </is>
      </c>
    </row>
    <row r="54" ht="30" customHeight="1">
      <c r="B54" s="5" t="inlineStr">
        <is>
          <t>•</t>
        </is>
      </c>
      <c r="C54" s="4" t="inlineStr">
        <is>
          <t>All values are illustrative, chosen to give plausible orders of magnitude and an interesting decision, not taken from studies.</t>
        </is>
      </c>
    </row>
  </sheetData>
  <mergeCells count="6">
    <mergeCell ref="B15:C15"/>
    <mergeCell ref="B29:C29"/>
    <mergeCell ref="B11:C11"/>
    <mergeCell ref="B10:C10"/>
    <mergeCell ref="B14:C14"/>
    <mergeCell ref="B26:C26"/>
  </mergeCells>
  <pageMargins left="0.75" right="0.75" top="1" bottom="1" header="0.5" footer="0.5"/>
</worksheet>
</file>

<file path=xl/worksheets/sheet3.xml><?xml version="1.0" encoding="utf-8"?>
<worksheet xmlns="http://schemas.openxmlformats.org/spreadsheetml/2006/main">
  <sheetPr>
    <tabColor rgb="00FFC000"/>
    <outlinePr summaryBelow="1" summaryRight="1"/>
    <pageSetUpPr/>
  </sheetPr>
  <dimension ref="A1:F62"/>
  <sheetViews>
    <sheetView workbookViewId="0">
      <pane ySplit="3" topLeftCell="A4" activePane="bottomLeft" state="frozen"/>
      <selection pane="bottomLeft" activeCell="A1" sqref="A1"/>
    </sheetView>
  </sheetViews>
  <sheetFormatPr baseColWidth="8" defaultRowHeight="15"/>
  <cols>
    <col width="46" customWidth="1" min="1" max="1"/>
    <col width="14" customWidth="1" min="2" max="2"/>
    <col width="22" customWidth="1" min="3" max="3"/>
    <col width="14" customWidth="1" min="4" max="4"/>
    <col width="22" customWidth="1" min="5" max="5"/>
    <col width="90" customWidth="1" min="6" max="6"/>
  </cols>
  <sheetData>
    <row r="1">
      <c r="A1" s="12" t="inlineStr">
        <is>
          <t>Inputs</t>
        </is>
      </c>
    </row>
    <row r="2">
      <c r="A2" s="13" t="inlineStr">
        <is>
          <t>Change the blue cells on yellow. Everything else in the workbook recalculates. The "Base case" column keeps the original values so you can go back to them.</t>
        </is>
      </c>
    </row>
    <row r="3">
      <c r="A3" s="14" t="inlineStr">
        <is>
          <t>Input check</t>
        </is>
      </c>
      <c r="B3" s="15" t="str">
        <f>IF(AND(MIN(B6)&gt;=1,MAX(B6)&lt;=10000000,MIN(B7)&gt;=40,MAX(B7)&lt;=80,MIN(B11)&gt;=0,MAX(B11)&lt;=1,MIN(B12)&gt;=0,MAX(B12)&lt;=1,MIN(B13)&gt;=0,MAX(B13)&lt;=1,MIN(B14)&gt;=0,MAX(B14)&lt;=1,MIN(B18)&gt;=0,MAX(B18)&lt;=1,MIN(B19)&gt;=0,MAX(B19)&lt;=1,MIN(B20)&gt;=0,MAX(B20)&lt;=1,MIN(B24)&gt;=0,MIN(B25)&gt;=0,MIN(B26)&gt;=0,MIN(B27)&gt;=0,MIN(B31)&gt;=0,MAX(B31)&lt;=1,MIN(B32)&gt;=0,MAX(B32)&lt;=1,MIN(B33)&gt;=0,MAX(B33)&lt;=1,MIN(B37)&gt;=0,MAX(B37)&lt;=1,MIN(B38)&gt;=0,MAX(B38)&lt;=1,MIN(B39)&gt;=0,MIN(C43:D54)&gt;=0,MAX(C43:D54)&lt;=1),"OK","CHECK")</f>
        <v>OK</v>
      </c>
      <c r="C3" s="16" t="inlineStr">
        <is>
          <t>CHECK means a value is outside its valid range (for example a probability above 100%).</t>
        </is>
      </c>
    </row>
    <row r="4" ht="20" customHeight="1">
      <c r="A4" s="17" t="inlineStr">
        <is>
          <t>1. The cohort</t>
        </is>
      </c>
      <c r="B4" s="18" t="n"/>
      <c r="C4" s="18" t="n"/>
      <c r="D4" s="18" t="n"/>
      <c r="E4" s="18" t="n"/>
      <c r="F4" s="18" t="n"/>
    </row>
    <row r="5">
      <c r="A5" s="19" t="inlineStr">
        <is>
          <t>Parameter</t>
        </is>
      </c>
      <c r="B5" s="19" t="inlineStr">
        <is>
          <t>Value</t>
        </is>
      </c>
      <c r="C5" s="19" t="inlineStr">
        <is>
          <t>Unit</t>
        </is>
      </c>
      <c r="D5" s="19" t="inlineStr">
        <is>
          <t>Base case</t>
        </is>
      </c>
      <c r="E5" s="19" t="inlineStr">
        <is>
          <t>Name in formulas</t>
        </is>
      </c>
      <c r="F5" s="19" t="inlineStr">
        <is>
          <t>What it means</t>
        </is>
      </c>
    </row>
    <row r="6" ht="31" customHeight="1">
      <c r="A6" s="7" t="inlineStr">
        <is>
          <t>Number of people in the cohort</t>
        </is>
      </c>
      <c r="B6" s="20" t="n">
        <v>100000</v>
      </c>
      <c r="C6" s="21" t="inlineStr">
        <is>
          <t>people</t>
        </is>
      </c>
      <c r="D6" s="22" t="n">
        <v>100000</v>
      </c>
      <c r="E6" s="16" t="inlineStr">
        <is>
          <t>cohort_size</t>
        </is>
      </c>
      <c r="F6" s="4" t="inlineStr">
        <is>
          <t>How many people are followed. Results are reported per person, so this only changes the scale of counts like cancer deaths. 100,000 makes counts easy to read.</t>
        </is>
      </c>
    </row>
    <row r="7" ht="31" customHeight="1">
      <c r="A7" s="7" t="inlineStr">
        <is>
          <t>Age of the cohort at the start</t>
        </is>
      </c>
      <c r="B7" s="23" t="n">
        <v>40</v>
      </c>
      <c r="C7" s="21" t="inlineStr">
        <is>
          <t>years</t>
        </is>
      </c>
      <c r="D7" s="24" t="n">
        <v>40</v>
      </c>
      <c r="E7" s="16" t="inlineStr">
        <is>
          <t>start_age</t>
        </is>
      </c>
      <c r="F7" s="4" t="inlineStr">
        <is>
          <t>Everyone starts healthy at this age and is followed for 60 yearly cycles (a lifetime horizon). Ages above 99 use the 95-99 probabilities.</t>
        </is>
      </c>
    </row>
    <row r="9" ht="20" customHeight="1">
      <c r="A9" s="17" t="inlineStr">
        <is>
          <t>2. Natural history of the cancer (probabilities per year)</t>
        </is>
      </c>
      <c r="B9" s="18" t="n"/>
      <c r="C9" s="18" t="n"/>
      <c r="D9" s="18" t="n"/>
      <c r="E9" s="18" t="n"/>
      <c r="F9" s="18" t="n"/>
    </row>
    <row r="10">
      <c r="A10" s="19" t="inlineStr">
        <is>
          <t>Parameter</t>
        </is>
      </c>
      <c r="B10" s="19" t="inlineStr">
        <is>
          <t>Value</t>
        </is>
      </c>
      <c r="C10" s="19" t="inlineStr">
        <is>
          <t>Unit</t>
        </is>
      </c>
      <c r="D10" s="19" t="inlineStr">
        <is>
          <t>Base case</t>
        </is>
      </c>
      <c r="E10" s="19" t="inlineStr">
        <is>
          <t>Name in formulas</t>
        </is>
      </c>
      <c r="F10" s="19" t="inlineStr">
        <is>
          <t>What it means</t>
        </is>
      </c>
    </row>
    <row r="11" ht="31" customHeight="1">
      <c r="A11" s="7" t="inlineStr">
        <is>
          <t>Early cancer found because of symptoms</t>
        </is>
      </c>
      <c r="B11" s="6" t="n">
        <v>0.1</v>
      </c>
      <c r="C11" s="21" t="inlineStr">
        <is>
          <t>per year</t>
        </is>
      </c>
      <c r="D11" s="25" t="n">
        <v>0.1</v>
      </c>
      <c r="E11" s="16" t="inlineStr">
        <is>
          <t>p_detect_symptoms</t>
        </is>
      </c>
      <c r="F11" s="4" t="inlineStr">
        <is>
          <t>Chance that an undiagnosed early cancer causes symptoms and is diagnosed in a year, without screening. The probability of developing cancer depends on age and is in table 7 below.</t>
        </is>
      </c>
    </row>
    <row r="12" ht="31" customHeight="1">
      <c r="A12" s="7" t="inlineStr">
        <is>
          <t>Undiagnosed early cancer becomes advanced</t>
        </is>
      </c>
      <c r="B12" s="6" t="n">
        <v>0.25</v>
      </c>
      <c r="C12" s="21" t="inlineStr">
        <is>
          <t>per year</t>
        </is>
      </c>
      <c r="D12" s="25" t="n">
        <v>0.25</v>
      </c>
      <c r="E12" s="16" t="inlineStr">
        <is>
          <t>p_progression</t>
        </is>
      </c>
      <c r="F12" s="4" t="inlineStr">
        <is>
          <t>Chance that an early cancer that was not found this year grows into advanced cancer. Then it is diagnosed, because advanced cancer causes symptoms.</t>
        </is>
      </c>
    </row>
    <row r="13" ht="31" customHeight="1">
      <c r="A13" s="7" t="inlineStr">
        <is>
          <t>Treatment of an early cancer cures it</t>
        </is>
      </c>
      <c r="B13" s="6" t="n">
        <v>0.9</v>
      </c>
      <c r="C13" s="21" t="inlineStr">
        <is>
          <t>probability</t>
        </is>
      </c>
      <c r="D13" s="25" t="n">
        <v>0.9</v>
      </c>
      <c r="E13" s="16" t="inlineStr">
        <is>
          <t>p_cure_early</t>
        </is>
      </c>
      <c r="F13" s="4" t="inlineStr">
        <is>
          <t>Chance that treating a diagnosed early cancer cures it (the person goes back to Healthy). If it does not, the person moves to Advanced cancer.</t>
        </is>
      </c>
    </row>
    <row r="14" ht="17.5" customHeight="1">
      <c r="A14" s="7" t="inlineStr">
        <is>
          <t>Death from advanced cancer</t>
        </is>
      </c>
      <c r="B14" s="6" t="n">
        <v>0.25</v>
      </c>
      <c r="C14" s="21" t="inlineStr">
        <is>
          <t>per year</t>
        </is>
      </c>
      <c r="D14" s="25" t="n">
        <v>0.25</v>
      </c>
      <c r="E14" s="16" t="inlineStr">
        <is>
          <t>p_death_advanced</t>
        </is>
      </c>
      <c r="F14" s="4" t="inlineStr">
        <is>
          <t>Chance of dying from the cancer in a year with advanced cancer, on top of other causes.</t>
        </is>
      </c>
    </row>
    <row r="16" ht="20" customHeight="1">
      <c r="A16" s="17" t="inlineStr">
        <is>
          <t>3. Screening test</t>
        </is>
      </c>
      <c r="B16" s="18" t="n"/>
      <c r="C16" s="18" t="n"/>
      <c r="D16" s="18" t="n"/>
      <c r="E16" s="18" t="n"/>
      <c r="F16" s="18" t="n"/>
    </row>
    <row r="17">
      <c r="A17" s="19" t="inlineStr">
        <is>
          <t>Parameter</t>
        </is>
      </c>
      <c r="B17" s="19" t="inlineStr">
        <is>
          <t>Value</t>
        </is>
      </c>
      <c r="C17" s="19" t="inlineStr">
        <is>
          <t>Unit</t>
        </is>
      </c>
      <c r="D17" s="19" t="inlineStr">
        <is>
          <t>Base case</t>
        </is>
      </c>
      <c r="E17" s="19" t="inlineStr">
        <is>
          <t>Name in formulas</t>
        </is>
      </c>
      <c r="F17" s="19" t="inlineStr">
        <is>
          <t>What it means</t>
        </is>
      </c>
    </row>
    <row r="18" ht="31" customHeight="1">
      <c r="A18" s="7" t="inlineStr">
        <is>
          <t>People who take the test when invited</t>
        </is>
      </c>
      <c r="B18" s="6" t="n">
        <v>0.6</v>
      </c>
      <c r="C18" s="21" t="inlineStr">
        <is>
          <t>proportion</t>
        </is>
      </c>
      <c r="D18" s="25" t="n">
        <v>0.6</v>
      </c>
      <c r="E18" s="16" t="inlineStr">
        <is>
          <t>screen_participation</t>
        </is>
      </c>
      <c r="F18" s="4" t="inlineStr">
        <is>
          <t>Share of the eligible people (alive and not diagnosed with advanced cancer) who do the test each year, in the years that a strategy screens.</t>
        </is>
      </c>
    </row>
    <row r="19" ht="31" customHeight="1">
      <c r="A19" s="7" t="inlineStr">
        <is>
          <t>Sensitivity for early cancer</t>
        </is>
      </c>
      <c r="B19" s="6" t="n">
        <v>0.7</v>
      </c>
      <c r="C19" s="21" t="inlineStr">
        <is>
          <t>proportion</t>
        </is>
      </c>
      <c r="D19" s="25" t="n">
        <v>0.7</v>
      </c>
      <c r="E19" s="16" t="inlineStr">
        <is>
          <t>screen_sensitivity</t>
        </is>
      </c>
      <c r="F19" s="4" t="inlineStr">
        <is>
          <t>Chance that the test is positive when the person has an early cancer. A positive test leads to a follow-up diagnostic test (for example a biopsy or a scan), which confirms the cancer.</t>
        </is>
      </c>
    </row>
    <row r="20" ht="31" customHeight="1">
      <c r="A20" s="7" t="inlineStr">
        <is>
          <t>Specificity</t>
        </is>
      </c>
      <c r="B20" s="6" t="n">
        <v>0.93</v>
      </c>
      <c r="C20" s="21" t="inlineStr">
        <is>
          <t>proportion</t>
        </is>
      </c>
      <c r="D20" s="25" t="n">
        <v>0.93</v>
      </c>
      <c r="E20" s="16" t="inlineStr">
        <is>
          <t>screen_specificity</t>
        </is>
      </c>
      <c r="F20" s="4" t="inlineStr">
        <is>
          <t>Chance that the test is negative when the person has no cancer. The rest (1 - specificity) are false positives: healthy people sent to a follow-up test that finds nothing.</t>
        </is>
      </c>
    </row>
    <row r="22" ht="20" customHeight="1">
      <c r="A22" s="17" t="inlineStr">
        <is>
          <t>4. Costs (€)</t>
        </is>
      </c>
      <c r="B22" s="18" t="n"/>
      <c r="C22" s="18" t="n"/>
      <c r="D22" s="18" t="n"/>
      <c r="E22" s="18" t="n"/>
      <c r="F22" s="18" t="n"/>
    </row>
    <row r="23">
      <c r="A23" s="19" t="inlineStr">
        <is>
          <t>Parameter</t>
        </is>
      </c>
      <c r="B23" s="19" t="inlineStr">
        <is>
          <t>Value</t>
        </is>
      </c>
      <c r="C23" s="19" t="inlineStr">
        <is>
          <t>Unit</t>
        </is>
      </c>
      <c r="D23" s="19" t="inlineStr">
        <is>
          <t>Base case</t>
        </is>
      </c>
      <c r="E23" s="19" t="inlineStr">
        <is>
          <t>Name in formulas</t>
        </is>
      </c>
      <c r="F23" s="19" t="inlineStr">
        <is>
          <t>What it means</t>
        </is>
      </c>
    </row>
    <row r="24" ht="17.5" customHeight="1">
      <c r="A24" s="7" t="inlineStr">
        <is>
          <t>One screening test</t>
        </is>
      </c>
      <c r="B24" s="26" t="n">
        <v>30</v>
      </c>
      <c r="C24" s="21" t="inlineStr">
        <is>
          <t>€ per test</t>
        </is>
      </c>
      <c r="D24" s="27" t="n">
        <v>30</v>
      </c>
      <c r="E24" s="16" t="inlineStr">
        <is>
          <t>cost_screen_test</t>
        </is>
      </c>
      <c r="F24" s="4" t="inlineStr">
        <is>
          <t>Cost of inviting a person, doing one screening test and reading the result.</t>
        </is>
      </c>
    </row>
    <row r="25" ht="17.5" customHeight="1">
      <c r="A25" s="7" t="inlineStr">
        <is>
          <t>One follow-up diagnostic test after a positive screen</t>
        </is>
      </c>
      <c r="B25" s="26" t="n">
        <v>1000</v>
      </c>
      <c r="C25" s="21" t="inlineStr">
        <is>
          <t>€ per follow-up test</t>
        </is>
      </c>
      <c r="D25" s="27" t="n">
        <v>1000</v>
      </c>
      <c r="E25" s="16" t="inlineStr">
        <is>
          <t>cost_followup_test</t>
        </is>
      </c>
      <c r="F25" s="4" t="inlineStr">
        <is>
          <t>Paid for every positive screening test, true or false, to confirm or rule out the cancer.</t>
        </is>
      </c>
    </row>
    <row r="26" ht="17.5" customHeight="1">
      <c r="A26" s="7" t="inlineStr">
        <is>
          <t>Treating an early cancer</t>
        </is>
      </c>
      <c r="B26" s="26" t="n">
        <v>15000</v>
      </c>
      <c r="C26" s="21" t="inlineStr">
        <is>
          <t>€ per cancer, once</t>
        </is>
      </c>
      <c r="D26" s="27" t="n">
        <v>15000</v>
      </c>
      <c r="E26" s="16" t="inlineStr">
        <is>
          <t>cost_early_treatment</t>
        </is>
      </c>
      <c r="F26" s="4" t="inlineStr">
        <is>
          <t>One-off cost of treating an early cancer, paid in the year it is diagnosed.</t>
        </is>
      </c>
    </row>
    <row r="27" ht="17.5" customHeight="1">
      <c r="A27" s="7" t="inlineStr">
        <is>
          <t>Treating advanced cancer</t>
        </is>
      </c>
      <c r="B27" s="26" t="n">
        <v>20000</v>
      </c>
      <c r="C27" s="21" t="inlineStr">
        <is>
          <t>€ per person per year</t>
        </is>
      </c>
      <c r="D27" s="27" t="n">
        <v>20000</v>
      </c>
      <c r="E27" s="16" t="inlineStr">
        <is>
          <t>cost_advanced_year</t>
        </is>
      </c>
      <c r="F27" s="4" t="inlineStr">
        <is>
          <t>Cost of treatment and care for each year spent with advanced cancer.</t>
        </is>
      </c>
    </row>
    <row r="29" ht="20" customHeight="1">
      <c r="A29" s="17" t="inlineStr">
        <is>
          <t>5. Quality of life (utility weights: 0 = dead, 1 = full health)</t>
        </is>
      </c>
      <c r="B29" s="18" t="n"/>
      <c r="C29" s="18" t="n"/>
      <c r="D29" s="18" t="n"/>
      <c r="E29" s="18" t="n"/>
      <c r="F29" s="18" t="n"/>
    </row>
    <row r="30">
      <c r="A30" s="19" t="inlineStr">
        <is>
          <t>Parameter</t>
        </is>
      </c>
      <c r="B30" s="19" t="inlineStr">
        <is>
          <t>Value</t>
        </is>
      </c>
      <c r="C30" s="19" t="inlineStr">
        <is>
          <t>Unit</t>
        </is>
      </c>
      <c r="D30" s="19" t="inlineStr">
        <is>
          <t>Base case</t>
        </is>
      </c>
      <c r="E30" s="19" t="inlineStr">
        <is>
          <t>Name in formulas</t>
        </is>
      </c>
      <c r="F30" s="19" t="inlineStr">
        <is>
          <t>What it means</t>
        </is>
      </c>
    </row>
    <row r="31" ht="31" customHeight="1">
      <c r="A31" s="7" t="inlineStr">
        <is>
          <t>A year without cancer</t>
        </is>
      </c>
      <c r="B31" s="28" t="n">
        <v>0.9</v>
      </c>
      <c r="C31" s="21" t="inlineStr">
        <is>
          <t>utility</t>
        </is>
      </c>
      <c r="D31" s="29" t="n">
        <v>0.9</v>
      </c>
      <c r="E31" s="16" t="inlineStr">
        <is>
          <t>u_healthy</t>
        </is>
      </c>
      <c r="F31" s="4" t="inlineStr">
        <is>
          <t>Average quality of life of adults without cancer. It is below 1 because people of these ages have other health problems too.</t>
        </is>
      </c>
    </row>
    <row r="32" ht="17.5" customHeight="1">
      <c r="A32" s="7" t="inlineStr">
        <is>
          <t>A year with undiagnosed early cancer</t>
        </is>
      </c>
      <c r="B32" s="28" t="n">
        <v>0.85</v>
      </c>
      <c r="C32" s="21" t="inlineStr">
        <is>
          <t>utility</t>
        </is>
      </c>
      <c r="D32" s="29" t="n">
        <v>0.85</v>
      </c>
      <c r="E32" s="16" t="inlineStr">
        <is>
          <t>u_early</t>
        </is>
      </c>
      <c r="F32" s="4" t="inlineStr">
        <is>
          <t>Early cancer causes few symptoms, so it is only slightly below Healthy.</t>
        </is>
      </c>
    </row>
    <row r="33" ht="17.5" customHeight="1">
      <c r="A33" s="7" t="inlineStr">
        <is>
          <t>A year with advanced cancer</t>
        </is>
      </c>
      <c r="B33" s="28" t="n">
        <v>0.55</v>
      </c>
      <c r="C33" s="21" t="inlineStr">
        <is>
          <t>utility</t>
        </is>
      </c>
      <c r="D33" s="29" t="n">
        <v>0.55</v>
      </c>
      <c r="E33" s="16" t="inlineStr">
        <is>
          <t>u_advanced</t>
        </is>
      </c>
      <c r="F33" s="4" t="inlineStr">
        <is>
          <t>Symptoms and treatment side effects lower quality of life considerably.</t>
        </is>
      </c>
    </row>
    <row r="35" ht="20" customHeight="1">
      <c r="A35" s="17" t="inlineStr">
        <is>
          <t>6. Discounting and the decision rule</t>
        </is>
      </c>
      <c r="B35" s="18" t="n"/>
      <c r="C35" s="18" t="n"/>
      <c r="D35" s="18" t="n"/>
      <c r="E35" s="18" t="n"/>
      <c r="F35" s="18" t="n"/>
    </row>
    <row r="36">
      <c r="A36" s="19" t="inlineStr">
        <is>
          <t>Parameter</t>
        </is>
      </c>
      <c r="B36" s="19" t="inlineStr">
        <is>
          <t>Value</t>
        </is>
      </c>
      <c r="C36" s="19" t="inlineStr">
        <is>
          <t>Unit</t>
        </is>
      </c>
      <c r="D36" s="19" t="inlineStr">
        <is>
          <t>Base case</t>
        </is>
      </c>
      <c r="E36" s="19" t="inlineStr">
        <is>
          <t>Name in formulas</t>
        </is>
      </c>
      <c r="F36" s="19" t="inlineStr">
        <is>
          <t>What it means</t>
        </is>
      </c>
    </row>
    <row r="37" ht="31" customHeight="1">
      <c r="A37" s="7" t="inlineStr">
        <is>
          <t>Discount rate for costs</t>
        </is>
      </c>
      <c r="B37" s="6" t="n">
        <v>0.03</v>
      </c>
      <c r="C37" s="21" t="inlineStr">
        <is>
          <t>per year</t>
        </is>
      </c>
      <c r="D37" s="25" t="n">
        <v>0.03</v>
      </c>
      <c r="E37" s="16" t="inlineStr">
        <is>
          <t>disc_costs</t>
        </is>
      </c>
      <c r="F37" s="4" t="inlineStr">
        <is>
          <t>Costs in the future count for less than costs today: a cost in year t is multiplied by 1 / (1 + rate)^t.</t>
        </is>
      </c>
    </row>
    <row r="38" ht="17.5" customHeight="1">
      <c r="A38" s="7" t="inlineStr">
        <is>
          <t>Discount rate for health effects</t>
        </is>
      </c>
      <c r="B38" s="6" t="n">
        <v>0.03</v>
      </c>
      <c r="C38" s="21" t="inlineStr">
        <is>
          <t>per year</t>
        </is>
      </c>
      <c r="D38" s="25" t="n">
        <v>0.03</v>
      </c>
      <c r="E38" s="16" t="inlineStr">
        <is>
          <t>disc_effects</t>
        </is>
      </c>
      <c r="F38" s="4" t="inlineStr">
        <is>
          <t>Same for life years and QALYs. Some countries use a different rate for health than for costs.</t>
        </is>
      </c>
    </row>
    <row r="39" ht="31" customHeight="1">
      <c r="A39" s="7" t="inlineStr">
        <is>
          <t>Willingness to pay per QALY gained</t>
        </is>
      </c>
      <c r="B39" s="26" t="n">
        <v>25000</v>
      </c>
      <c r="C39" s="21" t="inlineStr">
        <is>
          <t>€ per QALY</t>
        </is>
      </c>
      <c r="D39" s="27" t="n">
        <v>25000</v>
      </c>
      <c r="E39" s="16" t="inlineStr">
        <is>
          <t>wtp</t>
        </is>
      </c>
      <c r="F39" s="4" t="inlineStr">
        <is>
          <t>The most the health system is willing to pay for one extra QALY (the cost-effectiveness threshold). It decides which strategy is "cost-effective".</t>
        </is>
      </c>
    </row>
    <row r="41" ht="20" customHeight="1">
      <c r="A41" s="17" t="inlineStr">
        <is>
          <t>7. Probabilities that depend on age (per year)</t>
        </is>
      </c>
      <c r="B41" s="18" t="n"/>
      <c r="C41" s="18" t="n"/>
      <c r="D41" s="18" t="n"/>
      <c r="E41" s="18" t="n"/>
      <c r="F41" s="18" t="n"/>
    </row>
    <row r="42" ht="30" customHeight="1">
      <c r="A42" s="19" t="inlineStr">
        <is>
          <t>Age group</t>
        </is>
      </c>
      <c r="B42" s="19" t="inlineStr">
        <is>
          <t>From age</t>
        </is>
      </c>
      <c r="C42" s="19" t="inlineStr">
        <is>
          <t>Death from other causes</t>
        </is>
      </c>
      <c r="D42" s="19" t="inlineStr">
        <is>
          <t>Cancer starts (healthy people)</t>
        </is>
      </c>
      <c r="E42" s="19" t="inlineStr">
        <is>
          <t>Base: other causes</t>
        </is>
      </c>
      <c r="F42" s="19" t="inlineStr">
        <is>
          <t>Base: cancer starts</t>
        </is>
      </c>
    </row>
    <row r="43">
      <c r="A43" s="30" t="inlineStr">
        <is>
          <t>40-44</t>
        </is>
      </c>
      <c r="B43" s="30" t="n">
        <v>40</v>
      </c>
      <c r="C43" s="31" t="n">
        <v>0.0015</v>
      </c>
      <c r="D43" s="32" t="n">
        <v>0.00025</v>
      </c>
      <c r="E43" s="33" t="n">
        <v>0.0015</v>
      </c>
      <c r="F43" s="34" t="n">
        <v>0.00025</v>
      </c>
    </row>
    <row r="44">
      <c r="A44" s="30" t="inlineStr">
        <is>
          <t>45-49</t>
        </is>
      </c>
      <c r="B44" s="30" t="n">
        <v>45</v>
      </c>
      <c r="C44" s="31" t="n">
        <v>0.0023</v>
      </c>
      <c r="D44" s="32" t="n">
        <v>0.00035</v>
      </c>
      <c r="E44" s="33" t="n">
        <v>0.0023</v>
      </c>
      <c r="F44" s="34" t="n">
        <v>0.00035</v>
      </c>
    </row>
    <row r="45">
      <c r="A45" s="30" t="inlineStr">
        <is>
          <t>50-54</t>
        </is>
      </c>
      <c r="B45" s="30" t="n">
        <v>50</v>
      </c>
      <c r="C45" s="31" t="n">
        <v>0.0036</v>
      </c>
      <c r="D45" s="32" t="n">
        <v>0.00055</v>
      </c>
      <c r="E45" s="33" t="n">
        <v>0.0036</v>
      </c>
      <c r="F45" s="34" t="n">
        <v>0.00055</v>
      </c>
    </row>
    <row r="46">
      <c r="A46" s="30" t="inlineStr">
        <is>
          <t>55-59</t>
        </is>
      </c>
      <c r="B46" s="30" t="n">
        <v>55</v>
      </c>
      <c r="C46" s="31" t="n">
        <v>0.0055</v>
      </c>
      <c r="D46" s="32" t="n">
        <v>0.0008</v>
      </c>
      <c r="E46" s="33" t="n">
        <v>0.0055</v>
      </c>
      <c r="F46" s="34" t="n">
        <v>0.0008</v>
      </c>
    </row>
    <row r="47">
      <c r="A47" s="30" t="inlineStr">
        <is>
          <t>60-64</t>
        </is>
      </c>
      <c r="B47" s="30" t="n">
        <v>60</v>
      </c>
      <c r="C47" s="31" t="n">
        <v>0.008500000000000001</v>
      </c>
      <c r="D47" s="32" t="n">
        <v>0.0011</v>
      </c>
      <c r="E47" s="33" t="n">
        <v>0.008500000000000001</v>
      </c>
      <c r="F47" s="34" t="n">
        <v>0.0011</v>
      </c>
    </row>
    <row r="48">
      <c r="A48" s="30" t="inlineStr">
        <is>
          <t>65-69</t>
        </is>
      </c>
      <c r="B48" s="30" t="n">
        <v>65</v>
      </c>
      <c r="C48" s="31" t="n">
        <v>0.013</v>
      </c>
      <c r="D48" s="32" t="n">
        <v>0.0015</v>
      </c>
      <c r="E48" s="33" t="n">
        <v>0.013</v>
      </c>
      <c r="F48" s="34" t="n">
        <v>0.0015</v>
      </c>
    </row>
    <row r="49">
      <c r="A49" s="30" t="inlineStr">
        <is>
          <t>70-74</t>
        </is>
      </c>
      <c r="B49" s="30" t="n">
        <v>70</v>
      </c>
      <c r="C49" s="31" t="n">
        <v>0.021</v>
      </c>
      <c r="D49" s="32" t="n">
        <v>0.0018</v>
      </c>
      <c r="E49" s="33" t="n">
        <v>0.021</v>
      </c>
      <c r="F49" s="34" t="n">
        <v>0.0018</v>
      </c>
    </row>
    <row r="50">
      <c r="A50" s="30" t="inlineStr">
        <is>
          <t>75-79</t>
        </is>
      </c>
      <c r="B50" s="30" t="n">
        <v>75</v>
      </c>
      <c r="C50" s="31" t="n">
        <v>0.035</v>
      </c>
      <c r="D50" s="32" t="n">
        <v>0.0021</v>
      </c>
      <c r="E50" s="33" t="n">
        <v>0.035</v>
      </c>
      <c r="F50" s="34" t="n">
        <v>0.0021</v>
      </c>
    </row>
    <row r="51">
      <c r="A51" s="30" t="inlineStr">
        <is>
          <t>80-84</t>
        </is>
      </c>
      <c r="B51" s="30" t="n">
        <v>80</v>
      </c>
      <c r="C51" s="31" t="n">
        <v>0.06</v>
      </c>
      <c r="D51" s="32" t="n">
        <v>0.0024</v>
      </c>
      <c r="E51" s="33" t="n">
        <v>0.06</v>
      </c>
      <c r="F51" s="34" t="n">
        <v>0.0024</v>
      </c>
    </row>
    <row r="52">
      <c r="A52" s="30" t="inlineStr">
        <is>
          <t>85-89</t>
        </is>
      </c>
      <c r="B52" s="30" t="n">
        <v>85</v>
      </c>
      <c r="C52" s="31" t="n">
        <v>0.105</v>
      </c>
      <c r="D52" s="32" t="n">
        <v>0.0024</v>
      </c>
      <c r="E52" s="33" t="n">
        <v>0.105</v>
      </c>
      <c r="F52" s="34" t="n">
        <v>0.0024</v>
      </c>
    </row>
    <row r="53">
      <c r="A53" s="30" t="inlineStr">
        <is>
          <t>90-94</t>
        </is>
      </c>
      <c r="B53" s="30" t="n">
        <v>90</v>
      </c>
      <c r="C53" s="31" t="n">
        <v>0.18</v>
      </c>
      <c r="D53" s="32" t="n">
        <v>0.0024</v>
      </c>
      <c r="E53" s="33" t="n">
        <v>0.18</v>
      </c>
      <c r="F53" s="34" t="n">
        <v>0.0024</v>
      </c>
    </row>
    <row r="54">
      <c r="A54" s="30" t="inlineStr">
        <is>
          <t>95-99</t>
        </is>
      </c>
      <c r="B54" s="30" t="n">
        <v>95</v>
      </c>
      <c r="C54" s="31" t="n">
        <v>0.29</v>
      </c>
      <c r="D54" s="32" t="n">
        <v>0.0024</v>
      </c>
      <c r="E54" s="33" t="n">
        <v>0.29</v>
      </c>
      <c r="F54" s="34" t="n">
        <v>0.0024</v>
      </c>
    </row>
    <row r="55">
      <c r="A55" s="16" t="inlineStr">
        <is>
          <t>The "From age" column is the first age of each group; the model looks up the group of each age in it, so do not change it.</t>
        </is>
      </c>
    </row>
    <row r="57" ht="20" customHeight="1">
      <c r="A57" s="17" t="inlineStr">
        <is>
          <t>8. The strategies being compared</t>
        </is>
      </c>
      <c r="B57" s="18" t="n"/>
      <c r="C57" s="18" t="n"/>
      <c r="D57" s="18" t="n"/>
      <c r="E57" s="18" t="n"/>
      <c r="F57" s="18" t="n"/>
    </row>
    <row r="58" ht="30" customHeight="1">
      <c r="A58" s="19" t="inlineStr">
        <is>
          <t>Strategy name</t>
        </is>
      </c>
      <c r="B58" s="19" t="inlineStr">
        <is>
          <t>Number</t>
        </is>
      </c>
      <c r="C58" s="19" t="inlineStr">
        <is>
          <t>Screens? (Yes/No)</t>
        </is>
      </c>
      <c r="D58" s="19" t="inlineStr">
        <is>
          <t>First age screened</t>
        </is>
      </c>
      <c r="E58" s="19" t="inlineStr">
        <is>
          <t>Last age screened</t>
        </is>
      </c>
      <c r="F58" s="19" t="inlineStr">
        <is>
          <t>Description</t>
        </is>
      </c>
    </row>
    <row r="59" ht="30" customHeight="1">
      <c r="A59" s="35" t="inlineStr">
        <is>
          <t>No screening</t>
        </is>
      </c>
      <c r="B59" s="36" t="n">
        <v>1</v>
      </c>
      <c r="C59" s="35" t="inlineStr">
        <is>
          <t>No</t>
        </is>
      </c>
      <c r="D59" s="23" t="n">
        <v>50</v>
      </c>
      <c r="E59" s="23" t="n">
        <v>74</v>
      </c>
      <c r="F59" s="4" t="inlineStr">
        <is>
          <t>Usual care: cancers are only found when they cause symptoms. The first strategy is the reference that the others are compared with in section 2 of Results.</t>
        </is>
      </c>
    </row>
    <row r="60" ht="30" customHeight="1">
      <c r="A60" s="35" t="inlineStr">
        <is>
          <t>Screening 50-74</t>
        </is>
      </c>
      <c r="B60" s="36" t="n">
        <v>2</v>
      </c>
      <c r="C60" s="35" t="inlineStr">
        <is>
          <t>Yes</t>
        </is>
      </c>
      <c r="D60" s="23" t="n">
        <v>50</v>
      </c>
      <c r="E60" s="23" t="n">
        <v>74</v>
      </c>
      <c r="F60" s="4" t="inlineStr">
        <is>
          <t>Everyone aged 50 to 74 is invited to a screening test every year.</t>
        </is>
      </c>
    </row>
    <row r="61" ht="30" customHeight="1">
      <c r="A61" s="35" t="inlineStr">
        <is>
          <t>Screening 45-74</t>
        </is>
      </c>
      <c r="B61" s="36" t="n">
        <v>3</v>
      </c>
      <c r="C61" s="35" t="inlineStr">
        <is>
          <t>Yes</t>
        </is>
      </c>
      <c r="D61" s="23" t="n">
        <v>45</v>
      </c>
      <c r="E61" s="23" t="n">
        <v>74</v>
      </c>
      <c r="F61" s="4" t="inlineStr">
        <is>
          <t>Everyone aged 45 to 74 is invited to a screening test every year: the same as Screening 50-74, but starting five years earlier.</t>
        </is>
      </c>
    </row>
    <row r="62">
      <c r="A62" s="16" t="inlineStr">
        <is>
          <t>When a strategy screens, everyone eligible is invited every year from the first to the last age, both included. A strategy with "No" ignores the ages.</t>
        </is>
      </c>
    </row>
  </sheetData>
  <dataValidations count="33">
    <dataValidation sqref="B6" showDropDown="0" showInputMessage="0" showErrorMessage="1" allowBlank="0" errorTitle="Not a valid value" error="Enter a whole number between 1 and 10000000." type="whole" operator="between">
      <formula1>1</formula1>
      <formula2>10000000</formula2>
    </dataValidation>
    <dataValidation sqref="B7" showDropDown="0" showInputMessage="0" showErrorMessage="1" allowBlank="0" errorTitle="Not a valid value" error="Enter a whole number between 40 and 80." type="whole" operator="between">
      <formula1>40</formula1>
      <formula2>80</formula2>
    </dataValidation>
    <dataValidation sqref="B11" showDropDown="0" showInputMessage="0" showErrorMessage="1" allowBlank="0" errorTitle="Not a valid value" error="Enter a number between 0 and 1 (for example 0.25 for 25%)." type="decimal" operator="between">
      <formula1>0</formula1>
      <formula2>1</formula2>
    </dataValidation>
    <dataValidation sqref="B12" showDropDown="0" showInputMessage="0" showErrorMessage="1" allowBlank="0" errorTitle="Not a valid value" error="Enter a number between 0 and 1 (for example 0.25 for 25%)." type="decimal" operator="between">
      <formula1>0</formula1>
      <formula2>1</formula2>
    </dataValidation>
    <dataValidation sqref="B13" showDropDown="0" showInputMessage="0" showErrorMessage="1" allowBlank="0" errorTitle="Not a valid value" error="Enter a number between 0 and 1 (for example 0.25 for 25%)." type="decimal" operator="between">
      <formula1>0</formula1>
      <formula2>1</formula2>
    </dataValidation>
    <dataValidation sqref="B14" showDropDown="0" showInputMessage="0" showErrorMessage="1" allowBlank="0" errorTitle="Not a valid value" error="Enter a number between 0 and 1 (for example 0.25 for 25%)." type="decimal" operator="between">
      <formula1>0</formula1>
      <formula2>1</formula2>
    </dataValidation>
    <dataValidation sqref="B18" showDropDown="0" showInputMessage="0" showErrorMessage="1" allowBlank="0" errorTitle="Not a valid value" error="Enter a number between 0 and 1 (for example 0.25 for 25%)." type="decimal" operator="between">
      <formula1>0</formula1>
      <formula2>1</formula2>
    </dataValidation>
    <dataValidation sqref="B19" showDropDown="0" showInputMessage="0" showErrorMessage="1" allowBlank="0" errorTitle="Not a valid value" error="Enter a number between 0 and 1 (for example 0.25 for 25%)." type="decimal" operator="between">
      <formula1>0</formula1>
      <formula2>1</formula2>
    </dataValidation>
    <dataValidation sqref="B20" showDropDown="0" showInputMessage="0" showErrorMessage="1" allowBlank="0" errorTitle="Not a valid value" error="Enter a number between 0 and 1 (for example 0.25 for 25%)." type="decimal" operator="between">
      <formula1>0</formula1>
      <formula2>1</formula2>
    </dataValidation>
    <dataValidation sqref="B24" showDropDown="0" showInputMessage="0" showErrorMessage="1" allowBlank="0" errorTitle="Not a valid value" error="Enter a number that is 0 or more." type="decimal" operator="greaterThanOrEqual">
      <formula1>0</formula1>
    </dataValidation>
    <dataValidation sqref="B25" showDropDown="0" showInputMessage="0" showErrorMessage="1" allowBlank="0" errorTitle="Not a valid value" error="Enter a number that is 0 or more." type="decimal" operator="greaterThanOrEqual">
      <formula1>0</formula1>
    </dataValidation>
    <dataValidation sqref="B26" showDropDown="0" showInputMessage="0" showErrorMessage="1" allowBlank="0" errorTitle="Not a valid value" error="Enter a number that is 0 or more." type="decimal" operator="greaterThanOrEqual">
      <formula1>0</formula1>
    </dataValidation>
    <dataValidation sqref="B27" showDropDown="0" showInputMessage="0" showErrorMessage="1" allowBlank="0" errorTitle="Not a valid value" error="Enter a number that is 0 or more." type="decimal" operator="greaterThanOrEqual">
      <formula1>0</formula1>
    </dataValidation>
    <dataValidation sqref="B31" showDropDown="0" showInputMessage="0" showErrorMessage="1" allowBlank="0" errorTitle="Not a valid value" error="Enter a number between 0 and 1 (for example 0.25 for 25%)." type="decimal" operator="between">
      <formula1>0</formula1>
      <formula2>1</formula2>
    </dataValidation>
    <dataValidation sqref="B32" showDropDown="0" showInputMessage="0" showErrorMessage="1" allowBlank="0" errorTitle="Not a valid value" error="Enter a number between 0 and 1 (for example 0.25 for 25%)." type="decimal" operator="between">
      <formula1>0</formula1>
      <formula2>1</formula2>
    </dataValidation>
    <dataValidation sqref="B33" showDropDown="0" showInputMessage="0" showErrorMessage="1" allowBlank="0" errorTitle="Not a valid value" error="Enter a number between 0 and 1 (for example 0.25 for 25%)." type="decimal" operator="between">
      <formula1>0</formula1>
      <formula2>1</formula2>
    </dataValidation>
    <dataValidation sqref="B37" showDropDown="0" showInputMessage="0" showErrorMessage="1" allowBlank="0" errorTitle="Not a valid value" error="Enter a number between 0 and 1 (for example 0.25 for 25%)." type="decimal" operator="between">
      <formula1>0</formula1>
      <formula2>1</formula2>
    </dataValidation>
    <dataValidation sqref="B38" showDropDown="0" showInputMessage="0" showErrorMessage="1" allowBlank="0" errorTitle="Not a valid value" error="Enter a number between 0 and 1 (for example 0.25 for 25%)." type="decimal" operator="between">
      <formula1>0</formula1>
      <formula2>1</formula2>
    </dataValidation>
    <dataValidation sqref="B39" showDropDown="0" showInputMessage="0" showErrorMessage="1" allowBlank="0" errorTitle="Not a valid value" error="Enter a number that is 0 or more." type="decimal" operator="greaterThanOrEqual">
      <formula1>0</formula1>
    </dataValidation>
    <dataValidation sqref="C43:D43" showDropDown="0" showInputMessage="0" showErrorMessage="1" allowBlank="0" errorTitle="Not a valid value" error="Enter a number between 0 and 1 (for example 0.25 for 25%)." type="decimal" operator="between">
      <formula1>0</formula1>
      <formula2>1</formula2>
    </dataValidation>
    <dataValidation sqref="C44:D44" showDropDown="0" showInputMessage="0" showErrorMessage="1" allowBlank="0" errorTitle="Not a valid value" error="Enter a number between 0 and 1 (for example 0.25 for 25%)." type="decimal" operator="between">
      <formula1>0</formula1>
      <formula2>1</formula2>
    </dataValidation>
    <dataValidation sqref="C45:D45" showDropDown="0" showInputMessage="0" showErrorMessage="1" allowBlank="0" errorTitle="Not a valid value" error="Enter a number between 0 and 1 (for example 0.25 for 25%)." type="decimal" operator="between">
      <formula1>0</formula1>
      <formula2>1</formula2>
    </dataValidation>
    <dataValidation sqref="C46:D46" showDropDown="0" showInputMessage="0" showErrorMessage="1" allowBlank="0" errorTitle="Not a valid value" error="Enter a number between 0 and 1 (for example 0.25 for 25%)." type="decimal" operator="between">
      <formula1>0</formula1>
      <formula2>1</formula2>
    </dataValidation>
    <dataValidation sqref="C47:D47" showDropDown="0" showInputMessage="0" showErrorMessage="1" allowBlank="0" errorTitle="Not a valid value" error="Enter a number between 0 and 1 (for example 0.25 for 25%)." type="decimal" operator="between">
      <formula1>0</formula1>
      <formula2>1</formula2>
    </dataValidation>
    <dataValidation sqref="C48:D48" showDropDown="0" showInputMessage="0" showErrorMessage="1" allowBlank="0" errorTitle="Not a valid value" error="Enter a number between 0 and 1 (for example 0.25 for 25%)." type="decimal" operator="between">
      <formula1>0</formula1>
      <formula2>1</formula2>
    </dataValidation>
    <dataValidation sqref="C49:D49" showDropDown="0" showInputMessage="0" showErrorMessage="1" allowBlank="0" errorTitle="Not a valid value" error="Enter a number between 0 and 1 (for example 0.25 for 25%)." type="decimal" operator="between">
      <formula1>0</formula1>
      <formula2>1</formula2>
    </dataValidation>
    <dataValidation sqref="C50:D50" showDropDown="0" showInputMessage="0" showErrorMessage="1" allowBlank="0" errorTitle="Not a valid value" error="Enter a number between 0 and 1 (for example 0.25 for 25%)." type="decimal" operator="between">
      <formula1>0</formula1>
      <formula2>1</formula2>
    </dataValidation>
    <dataValidation sqref="C51:D51" showDropDown="0" showInputMessage="0" showErrorMessage="1" allowBlank="0" errorTitle="Not a valid value" error="Enter a number between 0 and 1 (for example 0.25 for 25%)." type="decimal" operator="between">
      <formula1>0</formula1>
      <formula2>1</formula2>
    </dataValidation>
    <dataValidation sqref="C52:D52" showDropDown="0" showInputMessage="0" showErrorMessage="1" allowBlank="0" errorTitle="Not a valid value" error="Enter a number between 0 and 1 (for example 0.25 for 25%)." type="decimal" operator="between">
      <formula1>0</formula1>
      <formula2>1</formula2>
    </dataValidation>
    <dataValidation sqref="C53:D53" showDropDown="0" showInputMessage="0" showErrorMessage="1" allowBlank="0" errorTitle="Not a valid value" error="Enter a number between 0 and 1 (for example 0.25 for 25%)." type="decimal" operator="between">
      <formula1>0</formula1>
      <formula2>1</formula2>
    </dataValidation>
    <dataValidation sqref="C54:D54" showDropDown="0" showInputMessage="0" showErrorMessage="1" allowBlank="0" errorTitle="Not a valid value" error="Enter a number between 0 and 1 (for example 0.25 for 25%)." type="decimal" operator="between">
      <formula1>0</formula1>
      <formula2>1</formula2>
    </dataValidation>
    <dataValidation sqref="C59:C61" showDropDown="0" showInputMessage="0" showErrorMessage="1" allowBlank="0" errorTitle="Screens?" error="Type Yes or No" type="list">
      <formula1>"Yes,No"</formula1>
    </dataValidation>
    <dataValidation sqref="D59:E61" showDropDown="0" showInputMessage="0" showErrorMessage="1" allowBlank="0" errorTitle="Not a valid value" error="Enter a whole number between 0 and 120." type="whole" operator="between">
      <formula1>0</formula1>
      <formula2>120</formula2>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A9D08E"/>
    <outlinePr summaryBelow="1" summaryRight="1"/>
    <pageSetUpPr/>
  </sheetPr>
  <dimension ref="A1:AO68"/>
  <sheetViews>
    <sheetView workbookViewId="0">
      <pane xSplit="3" ySplit="8" topLeftCell="D9" activePane="bottomRight" state="frozen"/>
      <selection pane="topRight"/>
      <selection pane="bottomLeft"/>
      <selection pane="bottomRight" activeCell="A1" sqref="A1"/>
    </sheetView>
  </sheetViews>
  <sheetFormatPr baseColWidth="8" defaultRowHeight="15"/>
  <cols>
    <col width="16" customWidth="1" min="1" max="1"/>
    <col width="11.5" customWidth="1" min="2" max="2"/>
    <col width="9" customWidth="1" min="3" max="3"/>
    <col width="11.5" customWidth="1" min="4" max="4"/>
    <col width="11.5" customWidth="1" min="5" max="5"/>
    <col width="11.5" customWidth="1" min="6" max="6"/>
    <col width="11.5" customWidth="1" min="7" max="7"/>
    <col width="11.5" customWidth="1" min="8" max="8"/>
    <col width="11.5" customWidth="1" min="9" max="9"/>
    <col width="11.5" customWidth="1" min="10" max="10"/>
    <col width="11.5" customWidth="1" min="11" max="11"/>
    <col width="11.5" customWidth="1" min="12" max="12"/>
    <col width="11.5" customWidth="1" min="13" max="13"/>
    <col width="11.5" customWidth="1" min="14" max="14"/>
    <col width="11.5" customWidth="1" min="15" max="15"/>
    <col width="11.5" customWidth="1" min="16" max="16"/>
    <col width="11.5" customWidth="1" min="17" max="17"/>
    <col width="11.5" customWidth="1" min="18" max="18"/>
    <col width="11.5" customWidth="1" min="19" max="19"/>
    <col width="11.5" customWidth="1" min="20" max="20"/>
    <col width="11.5" customWidth="1" min="21" max="21"/>
    <col width="11.5" customWidth="1" min="22" max="22"/>
    <col width="11.5" customWidth="1" min="23" max="23"/>
    <col width="11.5" customWidth="1" min="24" max="24"/>
    <col width="11.5" customWidth="1" min="25" max="25"/>
    <col width="11.5" customWidth="1" min="26" max="26"/>
    <col width="11.5" customWidth="1" min="27" max="27"/>
    <col width="11.5" customWidth="1" min="28" max="28"/>
    <col width="11.5" customWidth="1" min="29" max="29"/>
    <col width="11.5" customWidth="1" min="30" max="30"/>
    <col width="11.5" customWidth="1" min="31" max="31"/>
    <col width="11.5" customWidth="1" min="32" max="32"/>
    <col width="11.5" customWidth="1" min="33" max="33"/>
    <col width="11.5" customWidth="1" min="34" max="34"/>
    <col width="11.5" customWidth="1" min="35" max="35"/>
    <col width="11.5" customWidth="1" min="36" max="36"/>
    <col width="11.5" customWidth="1" min="37" max="37"/>
    <col width="11.5" customWidth="1" min="38" max="38"/>
    <col width="11.5" customWidth="1" min="39" max="39"/>
    <col width="11.5" customWidth="1" min="40" max="40"/>
    <col width="11.5" customWidth="1" min="41" max="41"/>
  </cols>
  <sheetData>
    <row r="1">
      <c r="A1" s="12" t="str">
        <f>"Markov trace of strategy 1: "&amp;INDEX(strategy_name,1)</f>
        <v>Markov trace of strategy 1: No screening</v>
      </c>
    </row>
    <row r="2">
      <c r="A2" s="14" t="inlineStr">
        <is>
          <t>Strategy number</t>
        </is>
      </c>
      <c r="B2" s="37" t="n">
        <v>1</v>
      </c>
    </row>
    <row r="3">
      <c r="A3" s="14" t="inlineStr">
        <is>
          <t>Screens?</t>
        </is>
      </c>
      <c r="B3" s="38" t="str">
        <f>INDEX(strategy_screens,$B$2)</f>
        <v>No</v>
      </c>
      <c r="D3" s="14" t="inlineStr">
        <is>
          <t>First age screened</t>
        </is>
      </c>
      <c r="E3" s="38">
        <f>INDEX(strategy_first_age,$B$2)</f>
        <v>50.0</v>
      </c>
      <c r="G3" s="14" t="inlineStr">
        <is>
          <t>Last age screened</t>
        </is>
      </c>
      <c r="H3" s="38">
        <f>INDEX(strategy_last_age,$B$2)</f>
        <v>74.0</v>
      </c>
    </row>
    <row r="4">
      <c r="A4" s="13" t="inlineStr">
        <is>
          <t>Each row is one year (one cycle). The people in each state this year (green block) come from last year's row: last year's people x last year's transition matrix (orange block). Hover over a column header to see what it does, or click a cell to read its formula.</t>
        </is>
      </c>
    </row>
    <row r="5">
      <c r="A5" s="13" t="inlineStr">
        <is>
          <t>Costs and QALYs of a year are counted for the people in each state at the start of that year. Row 8 adds up all the years; Results uses those totals.</t>
        </is>
      </c>
    </row>
    <row r="6" ht="30" customHeight="1">
      <c r="A6" s="39" t="inlineStr">
        <is>
          <t>Time</t>
        </is>
      </c>
      <c r="B6" s="40" t="n"/>
      <c r="C6" s="40" t="n"/>
      <c r="D6" s="41" t="inlineStr">
        <is>
          <t>This year's probabilities</t>
        </is>
      </c>
      <c r="E6" s="42" t="n"/>
      <c r="F6" s="42" t="n"/>
      <c r="G6" s="42" t="n"/>
      <c r="H6" s="42" t="n"/>
      <c r="I6" s="43" t="inlineStr">
        <is>
          <t>Transition matrix of this year (row by row)</t>
        </is>
      </c>
      <c r="J6" s="44" t="n"/>
      <c r="K6" s="44" t="n"/>
      <c r="L6" s="44" t="n"/>
      <c r="M6" s="44" t="n"/>
      <c r="N6" s="44" t="n"/>
      <c r="O6" s="44" t="n"/>
      <c r="P6" s="44" t="n"/>
      <c r="Q6" s="44" t="n"/>
      <c r="R6" s="45" t="inlineStr">
        <is>
          <t>Cohort at the start of the year (people)</t>
        </is>
      </c>
      <c r="S6" s="46" t="n"/>
      <c r="T6" s="46" t="n"/>
      <c r="U6" s="46" t="n"/>
      <c r="V6" s="46" t="n"/>
      <c r="W6" s="47" t="inlineStr">
        <is>
          <t>Events during the year (people)</t>
        </is>
      </c>
      <c r="X6" s="48" t="n"/>
      <c r="Y6" s="48" t="n"/>
      <c r="Z6" s="48" t="n"/>
      <c r="AA6" s="48" t="n"/>
      <c r="AB6" s="49" t="inlineStr">
        <is>
          <t>Screening (number)</t>
        </is>
      </c>
      <c r="AC6" s="50" t="n"/>
      <c r="AD6" s="51" t="inlineStr">
        <is>
          <t>Costs of the year (€, not discounted)</t>
        </is>
      </c>
      <c r="AE6" s="52" t="n"/>
      <c r="AF6" s="52" t="n"/>
      <c r="AG6" s="52" t="n"/>
      <c r="AH6" s="53" t="inlineStr">
        <is>
          <t>Health of the year (not discounted)</t>
        </is>
      </c>
      <c r="AI6" s="54" t="n"/>
      <c r="AJ6" s="55" t="inlineStr">
        <is>
          <t>Discounting</t>
        </is>
      </c>
      <c r="AK6" s="56" t="n"/>
      <c r="AL6" s="57" t="inlineStr">
        <is>
          <t>Discounted (what the results use)</t>
        </is>
      </c>
      <c r="AM6" s="58" t="n"/>
      <c r="AN6" s="58" t="n"/>
      <c r="AO6" s="45" t="inlineStr">
        <is>
          <t>Check</t>
        </is>
      </c>
    </row>
    <row r="7" ht="45" customHeight="1">
      <c r="A7" s="19" t="inlineStr">
        <is>
          <t>Cycle (years since start)</t>
        </is>
      </c>
      <c r="B7" s="19" t="inlineStr">
        <is>
          <t>Age</t>
        </is>
      </c>
      <c r="C7" s="19" t="inlineStr">
        <is>
          <t>Age group</t>
        </is>
      </c>
      <c r="D7" s="19" t="inlineStr">
        <is>
          <t>Death from other causes</t>
        </is>
      </c>
      <c r="E7" s="19" t="inlineStr">
        <is>
          <t>Cancer starts (if healthy)</t>
        </is>
      </c>
      <c r="F7" s="19" t="inlineStr">
        <is>
          <t>Screening offered? (1 = yes)</t>
        </is>
      </c>
      <c r="G7" s="19" t="inlineStr">
        <is>
          <t>Screened this year</t>
        </is>
      </c>
      <c r="H7" s="19" t="inlineStr">
        <is>
          <t>Early cancer detected this year</t>
        </is>
      </c>
      <c r="I7" s="19" t="inlineStr">
        <is>
          <t>Healthy → Healthy</t>
        </is>
      </c>
      <c r="J7" s="19" t="inlineStr">
        <is>
          <t>Healthy → Early</t>
        </is>
      </c>
      <c r="K7" s="19" t="inlineStr">
        <is>
          <t>Healthy → Dead</t>
        </is>
      </c>
      <c r="L7" s="19" t="inlineStr">
        <is>
          <t>Early → Healthy</t>
        </is>
      </c>
      <c r="M7" s="19" t="inlineStr">
        <is>
          <t>Early → Early</t>
        </is>
      </c>
      <c r="N7" s="19" t="inlineStr">
        <is>
          <t>Early → Advanced</t>
        </is>
      </c>
      <c r="O7" s="19" t="inlineStr">
        <is>
          <t>Early → Dead</t>
        </is>
      </c>
      <c r="P7" s="19" t="inlineStr">
        <is>
          <t>Advanced → Advanced</t>
        </is>
      </c>
      <c r="Q7" s="19" t="inlineStr">
        <is>
          <t>Advanced → Dead</t>
        </is>
      </c>
      <c r="R7" s="19" t="inlineStr">
        <is>
          <t>Healthy</t>
        </is>
      </c>
      <c r="S7" s="19" t="inlineStr">
        <is>
          <t>Early cancer</t>
        </is>
      </c>
      <c r="T7" s="19" t="inlineStr">
        <is>
          <t>Advanced cancer</t>
        </is>
      </c>
      <c r="U7" s="19" t="inlineStr">
        <is>
          <t>Dead</t>
        </is>
      </c>
      <c r="V7" s="19" t="inlineStr">
        <is>
          <t>Alive</t>
        </is>
      </c>
      <c r="W7" s="19" t="inlineStr">
        <is>
          <t>New cancers</t>
        </is>
      </c>
      <c r="X7" s="19" t="inlineStr">
        <is>
          <t>Diagnosed early</t>
        </is>
      </c>
      <c r="Y7" s="19" t="inlineStr">
        <is>
          <t>Diagnosed advanced</t>
        </is>
      </c>
      <c r="Z7" s="19" t="inlineStr">
        <is>
          <t>All diagnoses</t>
        </is>
      </c>
      <c r="AA7" s="19" t="inlineStr">
        <is>
          <t>Cancer deaths</t>
        </is>
      </c>
      <c r="AB7" s="19" t="inlineStr">
        <is>
          <t>Screening tests</t>
        </is>
      </c>
      <c r="AC7" s="19" t="inlineStr">
        <is>
          <t>Follow-up tests</t>
        </is>
      </c>
      <c r="AD7" s="19" t="inlineStr">
        <is>
          <t>Screening</t>
        </is>
      </c>
      <c r="AE7" s="19" t="inlineStr">
        <is>
          <t>Early treatment</t>
        </is>
      </c>
      <c r="AF7" s="19" t="inlineStr">
        <is>
          <t>Advanced treatment</t>
        </is>
      </c>
      <c r="AG7" s="19" t="inlineStr">
        <is>
          <t>Total cost</t>
        </is>
      </c>
      <c r="AH7" s="19" t="inlineStr">
        <is>
          <t>Life years</t>
        </is>
      </c>
      <c r="AI7" s="19" t="inlineStr">
        <is>
          <t>QALYs</t>
        </is>
      </c>
      <c r="AJ7" s="19" t="inlineStr">
        <is>
          <t>Discount factor (costs)</t>
        </is>
      </c>
      <c r="AK7" s="19" t="inlineStr">
        <is>
          <t>Discount factor (health)</t>
        </is>
      </c>
      <c r="AL7" s="19" t="inlineStr">
        <is>
          <t>Discounted cost</t>
        </is>
      </c>
      <c r="AM7" s="19" t="inlineStr">
        <is>
          <t>Discounted QALYs</t>
        </is>
      </c>
      <c r="AN7" s="19" t="inlineStr">
        <is>
          <t>Discounted life years</t>
        </is>
      </c>
      <c r="AO7" s="19" t="inlineStr">
        <is>
          <t>Check</t>
        </is>
      </c>
    </row>
    <row r="8">
      <c r="A8" s="59" t="inlineStr">
        <is>
          <t>All years</t>
        </is>
      </c>
      <c r="B8" s="60" t="n"/>
      <c r="C8" s="60" t="n"/>
      <c r="D8" s="60" t="n"/>
      <c r="E8" s="60" t="n"/>
      <c r="F8" s="60" t="n"/>
      <c r="G8" s="60" t="n"/>
      <c r="H8" s="60" t="n"/>
      <c r="I8" s="60" t="n"/>
      <c r="J8" s="60" t="n"/>
      <c r="K8" s="60" t="n"/>
      <c r="L8" s="60" t="n"/>
      <c r="M8" s="60" t="n"/>
      <c r="N8" s="60" t="n"/>
      <c r="O8" s="60" t="n"/>
      <c r="P8" s="60" t="n"/>
      <c r="Q8" s="60" t="n"/>
      <c r="R8" s="60" t="n"/>
      <c r="S8" s="60" t="n"/>
      <c r="T8" s="60" t="n"/>
      <c r="U8" s="60" t="n"/>
      <c r="V8" s="60" t="n"/>
      <c r="W8" s="61">
        <f>SUM(W9:W68)</f>
        <v>4685.587373743309</v>
      </c>
      <c r="X8" s="61">
        <f>SUM(X9:X68)</f>
        <v>1260.0437973144021</v>
      </c>
      <c r="Y8" s="61">
        <f>SUM(Y9:Y68)</f>
        <v>2835.0985439574056</v>
      </c>
      <c r="Z8" s="61">
        <f>SUM(Z9:Z68)</f>
        <v>4095.1423412718077</v>
      </c>
      <c r="AA8" s="61">
        <f>SUM(AA9:AA68)</f>
        <v>2449.2068104546825</v>
      </c>
      <c r="AB8" s="61">
        <f>SUM(AB9:AB68)</f>
        <v>0.0</v>
      </c>
      <c r="AC8" s="61">
        <f>SUM(AC9:AC68)</f>
        <v>0.0</v>
      </c>
      <c r="AD8" s="62">
        <f>SUM(AD9:AD68)</f>
        <v>0.0</v>
      </c>
      <c r="AE8" s="62">
        <f>SUM(AE9:AE68)</f>
        <v>18900656.959716033</v>
      </c>
      <c r="AF8" s="62">
        <f>SUM(AF9:AF68)</f>
        <v>205940403.08536318</v>
      </c>
      <c r="AG8" s="62">
        <f>SUM(AG9:AG68)</f>
        <v>224841060.04507923</v>
      </c>
      <c r="AH8" s="61">
        <f>SUM(AH9:AH68)</f>
        <v>4166486.605593055</v>
      </c>
      <c r="AI8" s="61">
        <f>SUM(AI9:AI68)</f>
        <v>3745575.063317123</v>
      </c>
      <c r="AJ8" s="60" t="n"/>
      <c r="AK8" s="60" t="n"/>
      <c r="AL8" s="62">
        <f>SUM(AL9:AL68)</f>
        <v>88982654.16305338</v>
      </c>
      <c r="AM8" s="61">
        <f>SUM(AM9:AM68)</f>
        <v>2121701.092119975</v>
      </c>
      <c r="AN8" s="61">
        <f>SUM(AN9:AN68)</f>
        <v>2359324.4042479317</v>
      </c>
      <c r="AO8" s="59" t="str">
        <f>IF(COUNTIF(AO9:AO68,"OK")=60,"OK","CHECK")</f>
        <v>OK</v>
      </c>
    </row>
    <row r="9">
      <c r="A9" s="63" t="n">
        <v>0</v>
      </c>
      <c r="B9" s="63">
        <f>start_age+A9</f>
        <v>40.0</v>
      </c>
      <c r="C9" s="64" t="str">
        <f>INDEX(age_band_label,MATCH(B9,age_band_start,1))</f>
        <v>40-44</v>
      </c>
      <c r="D9" s="65">
        <f>INDEX(p_background_death,MATCH(B9,age_band_start,1))</f>
        <v>0.0015</v>
      </c>
      <c r="E9" s="65">
        <f>INDEX(p_cancer_onset,MATCH(B9,age_band_start,1))</f>
        <v>0.00025</v>
      </c>
      <c r="F9" s="63">
        <f>IF(AND($B$3="Yes",B9&gt;=$E$3,B9&lt;=$H$3),1,0)</f>
        <v>0.0</v>
      </c>
      <c r="G9" s="66">
        <f>F9*screen_participation</f>
        <v>0.0</v>
      </c>
      <c r="H9" s="65">
        <f>1-(1-p_detect_symptoms)*(1-G9*screen_sensitivity)</f>
        <v>0.09999999999999998</v>
      </c>
      <c r="I9" s="65">
        <f>1-J9-K9</f>
        <v>0.998250375</v>
      </c>
      <c r="J9" s="65">
        <f>(1-D9)*E9</f>
        <v>0.000249625</v>
      </c>
      <c r="K9" s="65">
        <f>D9</f>
        <v>0.0015</v>
      </c>
      <c r="L9" s="65">
        <f>(1-D9)*H9*p_cure_early</f>
        <v>0.08986499999999999</v>
      </c>
      <c r="M9" s="65">
        <f>(1-D9)*(1-H9)*(1-p_progression)</f>
        <v>0.6739875000000001</v>
      </c>
      <c r="N9" s="65">
        <f>(1-D9)*(H9*(1-p_cure_early)+(1-H9)*p_progression)</f>
        <v>0.2346475</v>
      </c>
      <c r="O9" s="65">
        <f>D9</f>
        <v>0.0015</v>
      </c>
      <c r="P9" s="65">
        <f>1-Q9</f>
        <v>0.7488750000000001</v>
      </c>
      <c r="Q9" s="65">
        <f>1-(1-D9)*(1-p_death_advanced)</f>
        <v>0.25112499999999993</v>
      </c>
      <c r="R9" s="67">
        <f>cohort_size</f>
        <v>100000.0</v>
      </c>
      <c r="S9" s="67" t="n">
        <v>0</v>
      </c>
      <c r="T9" s="67" t="n">
        <v>0</v>
      </c>
      <c r="U9" s="67" t="n">
        <v>0</v>
      </c>
      <c r="V9" s="67">
        <f>R9+S9+T9</f>
        <v>100000.0</v>
      </c>
      <c r="W9" s="67">
        <f>R9*J9</f>
        <v>24.962500000000002</v>
      </c>
      <c r="X9" s="67">
        <f>S9*(1-D9)*H9</f>
        <v>0.0</v>
      </c>
      <c r="Y9" s="67">
        <f>S9*(1-D9)*(1-H9)*p_progression</f>
        <v>0.0</v>
      </c>
      <c r="Z9" s="67">
        <f>X9+Y9</f>
        <v>0.0</v>
      </c>
      <c r="AA9" s="67">
        <f>T9*(1-D9)*p_death_advanced</f>
        <v>0.0</v>
      </c>
      <c r="AB9" s="67">
        <f>(R9+S9)*G9</f>
        <v>0.0</v>
      </c>
      <c r="AC9" s="67">
        <f>G9*(R9*(1-screen_specificity)+S9*screen_sensitivity)</f>
        <v>0.0</v>
      </c>
      <c r="AD9" s="68">
        <f>AB9*cost_screen_test+AC9*cost_followup_test</f>
        <v>0.0</v>
      </c>
      <c r="AE9" s="68">
        <f>X9*cost_early_treatment</f>
        <v>0.0</v>
      </c>
      <c r="AF9" s="68">
        <f>T9*cost_advanced_year</f>
        <v>0.0</v>
      </c>
      <c r="AG9" s="68">
        <f>AD9+AE9+AF9</f>
        <v>0.0</v>
      </c>
      <c r="AH9" s="67">
        <f>V9</f>
        <v>100000.0</v>
      </c>
      <c r="AI9" s="67">
        <f>R9*u_healthy+S9*u_early+T9*u_advanced</f>
        <v>90000.0</v>
      </c>
      <c r="AJ9" s="69">
        <f>1/(1+disc_costs)^A9</f>
        <v>1.0</v>
      </c>
      <c r="AK9" s="69">
        <f>1/(1+disc_effects)^A9</f>
        <v>1.0</v>
      </c>
      <c r="AL9" s="68">
        <f>AG9*AJ9</f>
        <v>0.0</v>
      </c>
      <c r="AM9" s="67">
        <f>AI9*AK9</f>
        <v>90000.0</v>
      </c>
      <c r="AN9" s="67">
        <f>AH9*AK9</f>
        <v>100000.0</v>
      </c>
      <c r="AO9" s="64" t="str">
        <f>IF(AND(ABS(V9+U9-cohort_size)&lt;0.000001*cohort_size,MIN(I9:Q9)&gt;=0,MAX(I9:Q9)&lt;=1),"OK","CHECK")</f>
        <v>OK</v>
      </c>
    </row>
    <row r="10">
      <c r="A10" s="63">
        <f>A9+1</f>
        <v>1.0</v>
      </c>
      <c r="B10" s="63">
        <f>start_age+A10</f>
        <v>41.0</v>
      </c>
      <c r="C10" s="64" t="str">
        <f>INDEX(age_band_label,MATCH(B10,age_band_start,1))</f>
        <v>40-44</v>
      </c>
      <c r="D10" s="65">
        <f>INDEX(p_background_death,MATCH(B10,age_band_start,1))</f>
        <v>0.0015</v>
      </c>
      <c r="E10" s="65">
        <f>INDEX(p_cancer_onset,MATCH(B10,age_band_start,1))</f>
        <v>0.00025</v>
      </c>
      <c r="F10" s="63">
        <f>IF(AND($B$3="Yes",B10&gt;=$E$3,B10&lt;=$H$3),1,0)</f>
        <v>0.0</v>
      </c>
      <c r="G10" s="66">
        <f>F10*screen_participation</f>
        <v>0.0</v>
      </c>
      <c r="H10" s="65">
        <f>1-(1-p_detect_symptoms)*(1-G10*screen_sensitivity)</f>
        <v>0.09999999999999998</v>
      </c>
      <c r="I10" s="65">
        <f>1-J10-K10</f>
        <v>0.998250375</v>
      </c>
      <c r="J10" s="65">
        <f>(1-D10)*E10</f>
        <v>0.000249625</v>
      </c>
      <c r="K10" s="65">
        <f>D10</f>
        <v>0.0015</v>
      </c>
      <c r="L10" s="65">
        <f>(1-D10)*H10*p_cure_early</f>
        <v>0.08986499999999999</v>
      </c>
      <c r="M10" s="65">
        <f>(1-D10)*(1-H10)*(1-p_progression)</f>
        <v>0.6739875000000001</v>
      </c>
      <c r="N10" s="65">
        <f>(1-D10)*(H10*(1-p_cure_early)+(1-H10)*p_progression)</f>
        <v>0.2346475</v>
      </c>
      <c r="O10" s="65">
        <f>D10</f>
        <v>0.0015</v>
      </c>
      <c r="P10" s="65">
        <f>1-Q10</f>
        <v>0.7488750000000001</v>
      </c>
      <c r="Q10" s="65">
        <f>1-(1-D10)*(1-p_death_advanced)</f>
        <v>0.25112499999999993</v>
      </c>
      <c r="R10" s="67">
        <f>R9*I9+S9*L9</f>
        <v>99825.0375</v>
      </c>
      <c r="S10" s="67">
        <f>R9*J9+S9*M9</f>
        <v>24.962500000000002</v>
      </c>
      <c r="T10" s="67">
        <f>S9*N9+T9*P9</f>
        <v>0.0</v>
      </c>
      <c r="U10" s="67">
        <f>U9+R9*K9+S9*O9+T9*Q9</f>
        <v>150.0</v>
      </c>
      <c r="V10" s="67">
        <f>R10+S10+T10</f>
        <v>99850.0</v>
      </c>
      <c r="W10" s="67">
        <f>R10*J10</f>
        <v>24.9188249859375</v>
      </c>
      <c r="X10" s="67">
        <f>S10*(1-D10)*H10</f>
        <v>2.4925056249999997</v>
      </c>
      <c r="Y10" s="67">
        <f>S10*(1-D10)*(1-H10)*p_progression</f>
        <v>5.608137656250001</v>
      </c>
      <c r="Z10" s="67">
        <f>X10+Y10</f>
        <v>8.10064328125</v>
      </c>
      <c r="AA10" s="67">
        <f>T10*(1-D10)*p_death_advanced</f>
        <v>0.0</v>
      </c>
      <c r="AB10" s="67">
        <f>(R10+S10)*G10</f>
        <v>0.0</v>
      </c>
      <c r="AC10" s="67">
        <f>G10*(R10*(1-screen_specificity)+S10*screen_sensitivity)</f>
        <v>0.0</v>
      </c>
      <c r="AD10" s="68">
        <f>AB10*cost_screen_test+AC10*cost_followup_test</f>
        <v>0.0</v>
      </c>
      <c r="AE10" s="68">
        <f>X10*cost_early_treatment</f>
        <v>37387.584375</v>
      </c>
      <c r="AF10" s="68">
        <f>T10*cost_advanced_year</f>
        <v>0.0</v>
      </c>
      <c r="AG10" s="68">
        <f>AD10+AE10+AF10</f>
        <v>37387.584375</v>
      </c>
      <c r="AH10" s="67">
        <f>V10</f>
        <v>99850.0</v>
      </c>
      <c r="AI10" s="67">
        <f>R10*u_healthy+S10*u_early+T10*u_advanced</f>
        <v>89863.751875</v>
      </c>
      <c r="AJ10" s="69">
        <f>1/(1+disc_costs)^A10</f>
        <v>0.970873786407767</v>
      </c>
      <c r="AK10" s="69">
        <f>1/(1+disc_effects)^A10</f>
        <v>0.970873786407767</v>
      </c>
      <c r="AL10" s="68">
        <f>AG10*AJ10</f>
        <v>36298.625606796115</v>
      </c>
      <c r="AM10" s="67">
        <f>AI10*AK10</f>
        <v>87246.36104368932</v>
      </c>
      <c r="AN10" s="67">
        <f>AH10*AK10</f>
        <v>96941.74757281554</v>
      </c>
      <c r="AO10" s="64" t="str">
        <f>IF(AND(ABS(V10+U10-cohort_size)&lt;0.000001*cohort_size,MIN(I10:Q10)&gt;=0,MAX(I10:Q10)&lt;=1),"OK","CHECK")</f>
        <v>OK</v>
      </c>
    </row>
    <row r="11">
      <c r="A11" s="63">
        <f>A10+1</f>
        <v>2.0</v>
      </c>
      <c r="B11" s="63">
        <f>start_age+A11</f>
        <v>42.0</v>
      </c>
      <c r="C11" s="64" t="str">
        <f>INDEX(age_band_label,MATCH(B11,age_band_start,1))</f>
        <v>40-44</v>
      </c>
      <c r="D11" s="65">
        <f>INDEX(p_background_death,MATCH(B11,age_band_start,1))</f>
        <v>0.0015</v>
      </c>
      <c r="E11" s="65">
        <f>INDEX(p_cancer_onset,MATCH(B11,age_band_start,1))</f>
        <v>0.00025</v>
      </c>
      <c r="F11" s="63">
        <f>IF(AND($B$3="Yes",B11&gt;=$E$3,B11&lt;=$H$3),1,0)</f>
        <v>0.0</v>
      </c>
      <c r="G11" s="66">
        <f>F11*screen_participation</f>
        <v>0.0</v>
      </c>
      <c r="H11" s="65">
        <f>1-(1-p_detect_symptoms)*(1-G11*screen_sensitivity)</f>
        <v>0.09999999999999998</v>
      </c>
      <c r="I11" s="65">
        <f>1-J11-K11</f>
        <v>0.998250375</v>
      </c>
      <c r="J11" s="65">
        <f>(1-D11)*E11</f>
        <v>0.000249625</v>
      </c>
      <c r="K11" s="65">
        <f>D11</f>
        <v>0.0015</v>
      </c>
      <c r="L11" s="65">
        <f>(1-D11)*H11*p_cure_early</f>
        <v>0.08986499999999999</v>
      </c>
      <c r="M11" s="65">
        <f>(1-D11)*(1-H11)*(1-p_progression)</f>
        <v>0.6739875000000001</v>
      </c>
      <c r="N11" s="65">
        <f>(1-D11)*(H11*(1-p_cure_early)+(1-H11)*p_progression)</f>
        <v>0.2346475</v>
      </c>
      <c r="O11" s="65">
        <f>D11</f>
        <v>0.0015</v>
      </c>
      <c r="P11" s="65">
        <f>1-Q11</f>
        <v>0.7488750000000001</v>
      </c>
      <c r="Q11" s="65">
        <f>1-(1-D11)*(1-p_death_advanced)</f>
        <v>0.25112499999999993</v>
      </c>
      <c r="R11" s="67">
        <f>R10*I10+S10*L10</f>
        <v>99652.62437382656</v>
      </c>
      <c r="S11" s="67">
        <f>R10*J10+S10*M10</f>
        <v>41.7432379546875</v>
      </c>
      <c r="T11" s="67">
        <f>S10*N10+T10*P10</f>
        <v>5.857388218750001</v>
      </c>
      <c r="U11" s="67">
        <f>U10+R10*K10+S10*O10+T10*Q10</f>
        <v>299.77500000000003</v>
      </c>
      <c r="V11" s="67">
        <f>R11+S11+T11</f>
        <v>99700.22499999999</v>
      </c>
      <c r="W11" s="67">
        <f>R11*J11</f>
        <v>24.875786359316457</v>
      </c>
      <c r="X11" s="67">
        <f>S11*(1-D11)*H11</f>
        <v>4.1680623097755465</v>
      </c>
      <c r="Y11" s="67">
        <f>S11*(1-D11)*(1-H11)*p_progression</f>
        <v>9.378140196994982</v>
      </c>
      <c r="Z11" s="67">
        <f>X11+Y11</f>
        <v>13.546202506770529</v>
      </c>
      <c r="AA11" s="67">
        <f>T11*(1-D11)*p_death_advanced</f>
        <v>1.462150534105469</v>
      </c>
      <c r="AB11" s="67">
        <f>(R11+S11)*G11</f>
        <v>0.0</v>
      </c>
      <c r="AC11" s="67">
        <f>G11*(R11*(1-screen_specificity)+S11*screen_sensitivity)</f>
        <v>0.0</v>
      </c>
      <c r="AD11" s="68">
        <f>AB11*cost_screen_test+AC11*cost_followup_test</f>
        <v>0.0</v>
      </c>
      <c r="AE11" s="68">
        <f>X11*cost_early_treatment</f>
        <v>62520.9346466332</v>
      </c>
      <c r="AF11" s="68">
        <f>T11*cost_advanced_year</f>
        <v>117147.76437500001</v>
      </c>
      <c r="AG11" s="68">
        <f>AD11+AE11+AF11</f>
        <v>179668.69902163322</v>
      </c>
      <c r="AH11" s="67">
        <f>V11</f>
        <v>99700.22499999999</v>
      </c>
      <c r="AI11" s="67">
        <f>R11*u_healthy+S11*u_early+T11*u_advanced</f>
        <v>89726.06525222572</v>
      </c>
      <c r="AJ11" s="69">
        <f>1/(1+disc_costs)^A11</f>
        <v>0.9425959091337544</v>
      </c>
      <c r="AK11" s="69">
        <f>1/(1+disc_effects)^A11</f>
        <v>0.9425959091337544</v>
      </c>
      <c r="AL11" s="68">
        <f>AG11*AJ11</f>
        <v>169354.98069717526</v>
      </c>
      <c r="AM11" s="67">
        <f>AI11*AK11</f>
        <v>84575.42204941626</v>
      </c>
      <c r="AN11" s="67">
        <f>AH11*AK11</f>
        <v>93977.02422471486</v>
      </c>
      <c r="AO11" s="64" t="str">
        <f>IF(AND(ABS(V11+U11-cohort_size)&lt;0.000001*cohort_size,MIN(I11:Q11)&gt;=0,MAX(I11:Q11)&lt;=1),"OK","CHECK")</f>
        <v>OK</v>
      </c>
    </row>
    <row r="12">
      <c r="A12" s="63">
        <f>A11+1</f>
        <v>3.0</v>
      </c>
      <c r="B12" s="63">
        <f>start_age+A12</f>
        <v>43.0</v>
      </c>
      <c r="C12" s="64" t="str">
        <f>INDEX(age_band_label,MATCH(B12,age_band_start,1))</f>
        <v>40-44</v>
      </c>
      <c r="D12" s="65">
        <f>INDEX(p_background_death,MATCH(B12,age_band_start,1))</f>
        <v>0.0015</v>
      </c>
      <c r="E12" s="65">
        <f>INDEX(p_cancer_onset,MATCH(B12,age_band_start,1))</f>
        <v>0.00025</v>
      </c>
      <c r="F12" s="63">
        <f>IF(AND($B$3="Yes",B12&gt;=$E$3,B12&lt;=$H$3),1,0)</f>
        <v>0.0</v>
      </c>
      <c r="G12" s="66">
        <f>F12*screen_participation</f>
        <v>0.0</v>
      </c>
      <c r="H12" s="65">
        <f>1-(1-p_detect_symptoms)*(1-G12*screen_sensitivity)</f>
        <v>0.09999999999999998</v>
      </c>
      <c r="I12" s="65">
        <f>1-J12-K12</f>
        <v>0.998250375</v>
      </c>
      <c r="J12" s="65">
        <f>(1-D12)*E12</f>
        <v>0.000249625</v>
      </c>
      <c r="K12" s="65">
        <f>D12</f>
        <v>0.0015</v>
      </c>
      <c r="L12" s="65">
        <f>(1-D12)*H12*p_cure_early</f>
        <v>0.08986499999999999</v>
      </c>
      <c r="M12" s="65">
        <f>(1-D12)*(1-H12)*(1-p_progression)</f>
        <v>0.6739875000000001</v>
      </c>
      <c r="N12" s="65">
        <f>(1-D12)*(H12*(1-p_cure_early)+(1-H12)*p_progression)</f>
        <v>0.2346475</v>
      </c>
      <c r="O12" s="65">
        <f>D12</f>
        <v>0.0015</v>
      </c>
      <c r="P12" s="65">
        <f>1-Q12</f>
        <v>0.7488750000000001</v>
      </c>
      <c r="Q12" s="65">
        <f>1-(1-D12)*(1-p_death_advanced)</f>
        <v>0.25112499999999993</v>
      </c>
      <c r="R12" s="67">
        <f>R11*I11+S11*L11</f>
        <v>99482.02090698532</v>
      </c>
      <c r="S12" s="67">
        <f>R11*J11+S11*M11</f>
        <v>53.0102069503014</v>
      </c>
      <c r="T12" s="67">
        <f>S11*N11+T11*P11</f>
        <v>14.181398030288943</v>
      </c>
      <c r="U12" s="67">
        <f>U11+R11*K11+S11*O11+T11*Q11</f>
        <v>450.78748803410554</v>
      </c>
      <c r="V12" s="67">
        <f>R12+S12+T12</f>
        <v>99549.2125119659</v>
      </c>
      <c r="W12" s="67">
        <f>R12*J12</f>
        <v>24.83319946890621</v>
      </c>
      <c r="X12" s="67">
        <f>S12*(1-D12)*H12</f>
        <v>5.293069163987594</v>
      </c>
      <c r="Y12" s="67">
        <f>S12*(1-D12)*(1-H12)*p_progression</f>
        <v>11.90940561897209</v>
      </c>
      <c r="Z12" s="67">
        <f>X12+Y12</f>
        <v>17.202474782959683</v>
      </c>
      <c r="AA12" s="67">
        <f>T12*(1-D12)*p_death_advanced</f>
        <v>3.5400314833108775</v>
      </c>
      <c r="AB12" s="67">
        <f>(R12+S12)*G12</f>
        <v>0.0</v>
      </c>
      <c r="AC12" s="67">
        <f>G12*(R12*(1-screen_specificity)+S12*screen_sensitivity)</f>
        <v>0.0</v>
      </c>
      <c r="AD12" s="68">
        <f>AB12*cost_screen_test+AC12*cost_followup_test</f>
        <v>0.0</v>
      </c>
      <c r="AE12" s="68">
        <f>X12*cost_early_treatment</f>
        <v>79396.03745981392</v>
      </c>
      <c r="AF12" s="68">
        <f>T12*cost_advanced_year</f>
        <v>283627.96060577885</v>
      </c>
      <c r="AG12" s="68">
        <f>AD12+AE12+AF12</f>
        <v>363023.9980655928</v>
      </c>
      <c r="AH12" s="67">
        <f>V12</f>
        <v>99549.2125119659</v>
      </c>
      <c r="AI12" s="67">
        <f>R12*u_healthy+S12*u_early+T12*u_advanced</f>
        <v>89586.67726111121</v>
      </c>
      <c r="AJ12" s="69">
        <f>1/(1+disc_costs)^A12</f>
        <v>0.9151416593531596</v>
      </c>
      <c r="AK12" s="69">
        <f>1/(1+disc_effects)^A12</f>
        <v>0.9151416593531596</v>
      </c>
      <c r="AL12" s="68">
        <f>AG12*AJ12</f>
        <v>332218.3839747648</v>
      </c>
      <c r="AM12" s="67">
        <f>AI12*AK12</f>
        <v>81984.50048466929</v>
      </c>
      <c r="AN12" s="67">
        <f>AH12*AK12</f>
        <v>91101.6315255008</v>
      </c>
      <c r="AO12" s="64" t="str">
        <f>IF(AND(ABS(V12+U12-cohort_size)&lt;0.000001*cohort_size,MIN(I12:Q12)&gt;=0,MAX(I12:Q12)&lt;=1),"OK","CHECK")</f>
        <v>OK</v>
      </c>
    </row>
    <row r="13">
      <c r="A13" s="63">
        <f>A12+1</f>
        <v>4.0</v>
      </c>
      <c r="B13" s="63">
        <f>start_age+A13</f>
        <v>44.0</v>
      </c>
      <c r="C13" s="64" t="str">
        <f>INDEX(age_band_label,MATCH(B13,age_band_start,1))</f>
        <v>40-44</v>
      </c>
      <c r="D13" s="65">
        <f>INDEX(p_background_death,MATCH(B13,age_band_start,1))</f>
        <v>0.0015</v>
      </c>
      <c r="E13" s="65">
        <f>INDEX(p_cancer_onset,MATCH(B13,age_band_start,1))</f>
        <v>0.00025</v>
      </c>
      <c r="F13" s="63">
        <f>IF(AND($B$3="Yes",B13&gt;=$E$3,B13&lt;=$H$3),1,0)</f>
        <v>0.0</v>
      </c>
      <c r="G13" s="66">
        <f>F13*screen_participation</f>
        <v>0.0</v>
      </c>
      <c r="H13" s="65">
        <f>1-(1-p_detect_symptoms)*(1-G13*screen_sensitivity)</f>
        <v>0.09999999999999998</v>
      </c>
      <c r="I13" s="65">
        <f>1-J13-K13</f>
        <v>0.998250375</v>
      </c>
      <c r="J13" s="65">
        <f>(1-D13)*E13</f>
        <v>0.000249625</v>
      </c>
      <c r="K13" s="65">
        <f>D13</f>
        <v>0.0015</v>
      </c>
      <c r="L13" s="65">
        <f>(1-D13)*H13*p_cure_early</f>
        <v>0.08986499999999999</v>
      </c>
      <c r="M13" s="65">
        <f>(1-D13)*(1-H13)*(1-p_progression)</f>
        <v>0.6739875000000001</v>
      </c>
      <c r="N13" s="65">
        <f>(1-D13)*(H13*(1-p_cure_early)+(1-H13)*p_progression)</f>
        <v>0.2346475</v>
      </c>
      <c r="O13" s="65">
        <f>D13</f>
        <v>0.0015</v>
      </c>
      <c r="P13" s="65">
        <f>1-Q13</f>
        <v>0.7488750000000001</v>
      </c>
      <c r="Q13" s="65">
        <f>1-(1-D13)*(1-p_death_advanced)</f>
        <v>0.25112499999999993</v>
      </c>
      <c r="R13" s="67">
        <f>R12*I12+S12*L12</f>
        <v>99312.72843840352</v>
      </c>
      <c r="S13" s="67">
        <f>R12*J12+S12*M12</f>
        <v>60.56141632582248</v>
      </c>
      <c r="T13" s="67">
        <f>S12*N12+T12*P12</f>
        <v>23.058806985303484</v>
      </c>
      <c r="U13" s="67">
        <f>U12+R12*K12+S12*O12+T12*Q12</f>
        <v>603.6513382853653</v>
      </c>
      <c r="V13" s="67">
        <f>R13+S13+T13</f>
        <v>99396.34866171464</v>
      </c>
      <c r="W13" s="67">
        <f>R13*J13</f>
        <v>24.79093983643648</v>
      </c>
      <c r="X13" s="67">
        <f>S13*(1-D13)*H13</f>
        <v>6.047057420133373</v>
      </c>
      <c r="Y13" s="67">
        <f>S13*(1-D13)*(1-H13)*p_progression</f>
        <v>13.605879195300094</v>
      </c>
      <c r="Z13" s="67">
        <f>X13+Y13</f>
        <v>19.652936615433468</v>
      </c>
      <c r="AA13" s="67">
        <f>T13*(1-D13)*p_death_advanced</f>
        <v>5.756054693706383</v>
      </c>
      <c r="AB13" s="67">
        <f>(R13+S13)*G13</f>
        <v>0.0</v>
      </c>
      <c r="AC13" s="67">
        <f>G13*(R13*(1-screen_specificity)+S13*screen_sensitivity)</f>
        <v>0.0</v>
      </c>
      <c r="AD13" s="68">
        <f>AB13*cost_screen_test+AC13*cost_followup_test</f>
        <v>0.0</v>
      </c>
      <c r="AE13" s="68">
        <f>X13*cost_early_treatment</f>
        <v>90705.8613020006</v>
      </c>
      <c r="AF13" s="68">
        <f>T13*cost_advanced_year</f>
        <v>461176.13970606966</v>
      </c>
      <c r="AG13" s="68">
        <f>AD13+AE13+AF13</f>
        <v>551882.0010080703</v>
      </c>
      <c r="AH13" s="67">
        <f>V13</f>
        <v>99396.34866171464</v>
      </c>
      <c r="AI13" s="67">
        <f>R13*u_healthy+S13*u_early+T13*u_advanced</f>
        <v>89445.61514228204</v>
      </c>
      <c r="AJ13" s="69">
        <f>1/(1+disc_costs)^A13</f>
        <v>0.8884870479156888</v>
      </c>
      <c r="AK13" s="69">
        <f>1/(1+disc_effects)^A13</f>
        <v>0.8884870479156888</v>
      </c>
      <c r="AL13" s="68">
        <f>AG13*AJ13</f>
        <v>490340.00987346354</v>
      </c>
      <c r="AM13" s="67">
        <f>AI13*AK13</f>
        <v>79471.270546769</v>
      </c>
      <c r="AN13" s="67">
        <f>AH13*AK13</f>
        <v>88312.36839604536</v>
      </c>
      <c r="AO13" s="64" t="str">
        <f>IF(AND(ABS(V13+U13-cohort_size)&lt;0.000001*cohort_size,MIN(I13:Q13)&gt;=0,MAX(I13:Q13)&lt;=1),"OK","CHECK")</f>
        <v>OK</v>
      </c>
    </row>
    <row r="14">
      <c r="A14" s="63">
        <f>A13+1</f>
        <v>5.0</v>
      </c>
      <c r="B14" s="63">
        <f>start_age+A14</f>
        <v>45.0</v>
      </c>
      <c r="C14" s="64" t="str">
        <f>INDEX(age_band_label,MATCH(B14,age_band_start,1))</f>
        <v>45-49</v>
      </c>
      <c r="D14" s="65">
        <f>INDEX(p_background_death,MATCH(B14,age_band_start,1))</f>
        <v>0.0023</v>
      </c>
      <c r="E14" s="65">
        <f>INDEX(p_cancer_onset,MATCH(B14,age_band_start,1))</f>
        <v>0.00035</v>
      </c>
      <c r="F14" s="63">
        <f>IF(AND($B$3="Yes",B14&gt;=$E$3,B14&lt;=$H$3),1,0)</f>
        <v>0.0</v>
      </c>
      <c r="G14" s="66">
        <f>F14*screen_participation</f>
        <v>0.0</v>
      </c>
      <c r="H14" s="65">
        <f>1-(1-p_detect_symptoms)*(1-G14*screen_sensitivity)</f>
        <v>0.09999999999999998</v>
      </c>
      <c r="I14" s="65">
        <f>1-J14-K14</f>
        <v>0.9973508050000001</v>
      </c>
      <c r="J14" s="65">
        <f>(1-D14)*E14</f>
        <v>0.000349195</v>
      </c>
      <c r="K14" s="65">
        <f>D14</f>
        <v>0.0023</v>
      </c>
      <c r="L14" s="65">
        <f>(1-D14)*H14*p_cure_early</f>
        <v>0.08979299999999998</v>
      </c>
      <c r="M14" s="65">
        <f>(1-D14)*(1-H14)*(1-p_progression)</f>
        <v>0.6734475</v>
      </c>
      <c r="N14" s="65">
        <f>(1-D14)*(H14*(1-p_cure_early)+(1-H14)*p_progression)</f>
        <v>0.2344595</v>
      </c>
      <c r="O14" s="65">
        <f>D14</f>
        <v>0.0023</v>
      </c>
      <c r="P14" s="65">
        <f>1-Q14</f>
        <v>0.748275</v>
      </c>
      <c r="Q14" s="65">
        <f>1-(1-D14)*(1-p_death_advanced)</f>
        <v>0.251725</v>
      </c>
      <c r="R14" s="67">
        <f>R13*I13+S13*L13</f>
        <v>99144.4107575876</v>
      </c>
      <c r="S14" s="67">
        <f>R13*J13+S13*M13</f>
        <v>65.60857742233677</v>
      </c>
      <c r="T14" s="67">
        <f>S13*N13+T13*P13</f>
        <v>31.47874901843258</v>
      </c>
      <c r="U14" s="67">
        <f>U13+R13*K13+S13*O13+T13*Q13</f>
        <v>758.5019159716437</v>
      </c>
      <c r="V14" s="67">
        <f>R14+S14+T14</f>
        <v>99241.49808402837</v>
      </c>
      <c r="W14" s="67">
        <f>R14*J14</f>
        <v>34.6207325144958</v>
      </c>
      <c r="X14" s="67">
        <f>S14*(1-D14)*H14</f>
        <v>6.545767769426538</v>
      </c>
      <c r="Y14" s="67">
        <f>S14*(1-D14)*(1-H14)*p_progression</f>
        <v>14.727977481209715</v>
      </c>
      <c r="Z14" s="67">
        <f>X14+Y14</f>
        <v>21.273745250636253</v>
      </c>
      <c r="AA14" s="67">
        <f>T14*(1-D14)*p_death_advanced</f>
        <v>7.851586973922546</v>
      </c>
      <c r="AB14" s="67">
        <f>(R14+S14)*G14</f>
        <v>0.0</v>
      </c>
      <c r="AC14" s="67">
        <f>G14*(R14*(1-screen_specificity)+S14*screen_sensitivity)</f>
        <v>0.0</v>
      </c>
      <c r="AD14" s="68">
        <f>AB14*cost_screen_test+AC14*cost_followup_test</f>
        <v>0.0</v>
      </c>
      <c r="AE14" s="68">
        <f>X14*cost_early_treatment</f>
        <v>98186.51654139807</v>
      </c>
      <c r="AF14" s="68">
        <f>T14*cost_advanced_year</f>
        <v>629574.9803686516</v>
      </c>
      <c r="AG14" s="68">
        <f>AD14+AE14+AF14</f>
        <v>727761.4969100496</v>
      </c>
      <c r="AH14" s="67">
        <f>V14</f>
        <v>99241.49808402837</v>
      </c>
      <c r="AI14" s="67">
        <f>R14*u_healthy+S14*u_early+T14*u_advanced</f>
        <v>89303.05028459796</v>
      </c>
      <c r="AJ14" s="69">
        <f>1/(1+disc_costs)^A14</f>
        <v>0.8626087843841639</v>
      </c>
      <c r="AK14" s="69">
        <f>1/(1+disc_effects)^A14</f>
        <v>0.8626087843841639</v>
      </c>
      <c r="AL14" s="68">
        <f>AG14*AJ14</f>
        <v>627773.4601711773</v>
      </c>
      <c r="AM14" s="67">
        <f>AI14*AK14</f>
        <v>77033.59564779491</v>
      </c>
      <c r="AN14" s="67">
        <f>AH14*AK14</f>
        <v>85606.58802272704</v>
      </c>
      <c r="AO14" s="64" t="str">
        <f>IF(AND(ABS(V14+U14-cohort_size)&lt;0.000001*cohort_size,MIN(I14:Q14)&gt;=0,MAX(I14:Q14)&lt;=1),"OK","CHECK")</f>
        <v>OK</v>
      </c>
    </row>
    <row r="15">
      <c r="A15" s="63">
        <f>A14+1</f>
        <v>6.0</v>
      </c>
      <c r="B15" s="63">
        <f>start_age+A15</f>
        <v>46.0</v>
      </c>
      <c r="C15" s="64" t="str">
        <f>INDEX(age_band_label,MATCH(B15,age_band_start,1))</f>
        <v>45-49</v>
      </c>
      <c r="D15" s="65">
        <f>INDEX(p_background_death,MATCH(B15,age_band_start,1))</f>
        <v>0.0023</v>
      </c>
      <c r="E15" s="65">
        <f>INDEX(p_cancer_onset,MATCH(B15,age_band_start,1))</f>
        <v>0.00035</v>
      </c>
      <c r="F15" s="63">
        <f>IF(AND($B$3="Yes",B15&gt;=$E$3,B15&lt;=$H$3),1,0)</f>
        <v>0.0</v>
      </c>
      <c r="G15" s="66">
        <f>F15*screen_participation</f>
        <v>0.0</v>
      </c>
      <c r="H15" s="65">
        <f>1-(1-p_detect_symptoms)*(1-G15*screen_sensitivity)</f>
        <v>0.09999999999999998</v>
      </c>
      <c r="I15" s="65">
        <f>1-J15-K15</f>
        <v>0.9973508050000001</v>
      </c>
      <c r="J15" s="65">
        <f>(1-D15)*E15</f>
        <v>0.000349195</v>
      </c>
      <c r="K15" s="65">
        <f>D15</f>
        <v>0.0023</v>
      </c>
      <c r="L15" s="65">
        <f>(1-D15)*H15*p_cure_early</f>
        <v>0.08979299999999998</v>
      </c>
      <c r="M15" s="65">
        <f>(1-D15)*(1-H15)*(1-p_progression)</f>
        <v>0.6734475</v>
      </c>
      <c r="N15" s="65">
        <f>(1-D15)*(H15*(1-p_cure_early)+(1-H15)*p_progression)</f>
        <v>0.2344595</v>
      </c>
      <c r="O15" s="65">
        <f>D15</f>
        <v>0.0023</v>
      </c>
      <c r="P15" s="65">
        <f>1-Q15</f>
        <v>0.748275</v>
      </c>
      <c r="Q15" s="65">
        <f>1-(1-D15)*(1-p_death_advanced)</f>
        <v>0.251725</v>
      </c>
      <c r="R15" s="67">
        <f>R14*I14+S14*L14</f>
        <v>98887.64907132313</v>
      </c>
      <c r="S15" s="67">
        <f>R14*J14+S14*M14</f>
        <v>78.80466495812493</v>
      </c>
      <c r="T15" s="67">
        <f>S14*N14+T14*P14</f>
        <v>38.937315179920006</v>
      </c>
      <c r="U15" s="67">
        <f>U14+R14*K14+S14*O14+T14*Q14</f>
        <v>994.6089485388316</v>
      </c>
      <c r="V15" s="67">
        <f>R15+S15+T15</f>
        <v>99005.39105146118</v>
      </c>
      <c r="W15" s="67">
        <f>R15*J15</f>
        <v>34.53107261746068</v>
      </c>
      <c r="X15" s="67">
        <f>S15*(1-D15)*H15</f>
        <v>7.862341422872123</v>
      </c>
      <c r="Y15" s="67">
        <f>S15*(1-D15)*(1-H15)*p_progression</f>
        <v>17.69026820146228</v>
      </c>
      <c r="Z15" s="67">
        <f>X15+Y15</f>
        <v>25.552609624334405</v>
      </c>
      <c r="AA15" s="67">
        <f>T15*(1-D15)*p_death_advanced</f>
        <v>9.711939838751547</v>
      </c>
      <c r="AB15" s="67">
        <f>(R15+S15)*G15</f>
        <v>0.0</v>
      </c>
      <c r="AC15" s="67">
        <f>G15*(R15*(1-screen_specificity)+S15*screen_sensitivity)</f>
        <v>0.0</v>
      </c>
      <c r="AD15" s="68">
        <f>AB15*cost_screen_test+AC15*cost_followup_test</f>
        <v>0.0</v>
      </c>
      <c r="AE15" s="68">
        <f>X15*cost_early_treatment</f>
        <v>117935.12134308185</v>
      </c>
      <c r="AF15" s="68">
        <f>T15*cost_advanced_year</f>
        <v>778746.3035984001</v>
      </c>
      <c r="AG15" s="68">
        <f>AD15+AE15+AF15</f>
        <v>896681.4249414819</v>
      </c>
      <c r="AH15" s="67">
        <f>V15</f>
        <v>99005.39105146118</v>
      </c>
      <c r="AI15" s="67">
        <f>R15*u_healthy+S15*u_early+T15*u_advanced</f>
        <v>89087.28365275418</v>
      </c>
      <c r="AJ15" s="69">
        <f>1/(1+disc_costs)^A15</f>
        <v>0.8374842566836542</v>
      </c>
      <c r="AK15" s="69">
        <f>1/(1+disc_effects)^A15</f>
        <v>0.8374842566836542</v>
      </c>
      <c r="AL15" s="68">
        <f>AG15*AJ15</f>
        <v>750956.5766491569</v>
      </c>
      <c r="AM15" s="67">
        <f>AI15*AK15</f>
        <v>74609.1975298927</v>
      </c>
      <c r="AN15" s="67">
        <f>AH15*AK15</f>
        <v>82915.45633240747</v>
      </c>
      <c r="AO15" s="64" t="str">
        <f>IF(AND(ABS(V15+U15-cohort_size)&lt;0.000001*cohort_size,MIN(I15:Q15)&gt;=0,MAX(I15:Q15)&lt;=1),"OK","CHECK")</f>
        <v>OK</v>
      </c>
    </row>
    <row r="16">
      <c r="A16" s="63">
        <f>A15+1</f>
        <v>7.0</v>
      </c>
      <c r="B16" s="63">
        <f>start_age+A16</f>
        <v>47.0</v>
      </c>
      <c r="C16" s="64" t="str">
        <f>INDEX(age_band_label,MATCH(B16,age_band_start,1))</f>
        <v>45-49</v>
      </c>
      <c r="D16" s="65">
        <f>INDEX(p_background_death,MATCH(B16,age_band_start,1))</f>
        <v>0.0023</v>
      </c>
      <c r="E16" s="65">
        <f>INDEX(p_cancer_onset,MATCH(B16,age_band_start,1))</f>
        <v>0.00035</v>
      </c>
      <c r="F16" s="63">
        <f>IF(AND($B$3="Yes",B16&gt;=$E$3,B16&lt;=$H$3),1,0)</f>
        <v>0.0</v>
      </c>
      <c r="G16" s="66">
        <f>F16*screen_participation</f>
        <v>0.0</v>
      </c>
      <c r="H16" s="65">
        <f>1-(1-p_detect_symptoms)*(1-G16*screen_sensitivity)</f>
        <v>0.09999999999999998</v>
      </c>
      <c r="I16" s="65">
        <f>1-J16-K16</f>
        <v>0.9973508050000001</v>
      </c>
      <c r="J16" s="65">
        <f>(1-D16)*E16</f>
        <v>0.000349195</v>
      </c>
      <c r="K16" s="65">
        <f>D16</f>
        <v>0.0023</v>
      </c>
      <c r="L16" s="65">
        <f>(1-D16)*H16*p_cure_early</f>
        <v>0.08979299999999998</v>
      </c>
      <c r="M16" s="65">
        <f>(1-D16)*(1-H16)*(1-p_progression)</f>
        <v>0.6734475</v>
      </c>
      <c r="N16" s="65">
        <f>(1-D16)*(H16*(1-p_cure_early)+(1-H16)*p_progression)</f>
        <v>0.2344595</v>
      </c>
      <c r="O16" s="65">
        <f>D16</f>
        <v>0.0023</v>
      </c>
      <c r="P16" s="65">
        <f>1-Q16</f>
        <v>0.748275</v>
      </c>
      <c r="Q16" s="65">
        <f>1-(1-D16)*(1-p_death_advanced)</f>
        <v>0.251725</v>
      </c>
      <c r="R16" s="67">
        <f>R15*I15+S15*L15</f>
        <v>98632.75251312222</v>
      </c>
      <c r="S16" s="67">
        <f>R15*J15+S15*M15</f>
        <v>87.60187722184752</v>
      </c>
      <c r="T16" s="67">
        <f>S15*N15+T15*P15</f>
        <v>47.61232186000413</v>
      </c>
      <c r="U16" s="67">
        <f>U15+R15*K15+S15*O15+T15*Q15</f>
        <v>1232.0332877959438</v>
      </c>
      <c r="V16" s="67">
        <f>R16+S16+T16</f>
        <v>98767.96671220407</v>
      </c>
      <c r="W16" s="67">
        <f>R16*J16</f>
        <v>34.44206401381972</v>
      </c>
      <c r="X16" s="67">
        <f>S16*(1-D16)*H16</f>
        <v>8.740039290423725</v>
      </c>
      <c r="Y16" s="67">
        <f>S16*(1-D16)*(1-H16)*p_progression</f>
        <v>19.665088403453385</v>
      </c>
      <c r="Z16" s="67">
        <f>X16+Y16</f>
        <v>28.405127693877112</v>
      </c>
      <c r="AA16" s="67">
        <f>T16*(1-D16)*p_death_advanced</f>
        <v>11.875703379931531</v>
      </c>
      <c r="AB16" s="67">
        <f>(R16+S16)*G16</f>
        <v>0.0</v>
      </c>
      <c r="AC16" s="67">
        <f>G16*(R16*(1-screen_specificity)+S16*screen_sensitivity)</f>
        <v>0.0</v>
      </c>
      <c r="AD16" s="68">
        <f>AB16*cost_screen_test+AC16*cost_followup_test</f>
        <v>0.0</v>
      </c>
      <c r="AE16" s="68">
        <f>X16*cost_early_treatment</f>
        <v>131100.5893563559</v>
      </c>
      <c r="AF16" s="68">
        <f>T16*cost_advanced_year</f>
        <v>952246.4372000826</v>
      </c>
      <c r="AG16" s="68">
        <f>AD16+AE16+AF16</f>
        <v>1083347.0265564385</v>
      </c>
      <c r="AH16" s="67">
        <f>V16</f>
        <v>98767.96671220407</v>
      </c>
      <c r="AI16" s="67">
        <f>R16*u_healthy+S16*u_early+T16*u_advanced</f>
        <v>88870.12563447157</v>
      </c>
      <c r="AJ16" s="69">
        <f>1/(1+disc_costs)^A16</f>
        <v>0.8130915113433536</v>
      </c>
      <c r="AK16" s="69">
        <f>1/(1+disc_effects)^A16</f>
        <v>0.8130915113433536</v>
      </c>
      <c r="AL16" s="68">
        <f>AG16*AJ16</f>
        <v>880860.2711321028</v>
      </c>
      <c r="AM16" s="67">
        <f>AI16*AK16</f>
        <v>72259.54476540619</v>
      </c>
      <c r="AN16" s="67">
        <f>AH16*AK16</f>
        <v>80307.39532633605</v>
      </c>
      <c r="AO16" s="64" t="str">
        <f>IF(AND(ABS(V16+U16-cohort_size)&lt;0.000001*cohort_size,MIN(I16:Q16)&gt;=0,MAX(I16:Q16)&lt;=1),"OK","CHECK")</f>
        <v>OK</v>
      </c>
    </row>
    <row r="17">
      <c r="A17" s="63">
        <f>A16+1</f>
        <v>8.0</v>
      </c>
      <c r="B17" s="63">
        <f>start_age+A17</f>
        <v>48.0</v>
      </c>
      <c r="C17" s="64" t="str">
        <f>INDEX(age_band_label,MATCH(B17,age_band_start,1))</f>
        <v>45-49</v>
      </c>
      <c r="D17" s="65">
        <f>INDEX(p_background_death,MATCH(B17,age_band_start,1))</f>
        <v>0.0023</v>
      </c>
      <c r="E17" s="65">
        <f>INDEX(p_cancer_onset,MATCH(B17,age_band_start,1))</f>
        <v>0.00035</v>
      </c>
      <c r="F17" s="63">
        <f>IF(AND($B$3="Yes",B17&gt;=$E$3,B17&lt;=$H$3),1,0)</f>
        <v>0.0</v>
      </c>
      <c r="G17" s="66">
        <f>F17*screen_participation</f>
        <v>0.0</v>
      </c>
      <c r="H17" s="65">
        <f>1-(1-p_detect_symptoms)*(1-G17*screen_sensitivity)</f>
        <v>0.09999999999999998</v>
      </c>
      <c r="I17" s="65">
        <f>1-J17-K17</f>
        <v>0.9973508050000001</v>
      </c>
      <c r="J17" s="65">
        <f>(1-D17)*E17</f>
        <v>0.000349195</v>
      </c>
      <c r="K17" s="65">
        <f>D17</f>
        <v>0.0023</v>
      </c>
      <c r="L17" s="65">
        <f>(1-D17)*H17*p_cure_early</f>
        <v>0.08979299999999998</v>
      </c>
      <c r="M17" s="65">
        <f>(1-D17)*(1-H17)*(1-p_progression)</f>
        <v>0.6734475</v>
      </c>
      <c r="N17" s="65">
        <f>(1-D17)*(H17*(1-p_cure_early)+(1-H17)*p_progression)</f>
        <v>0.2344595</v>
      </c>
      <c r="O17" s="65">
        <f>D17</f>
        <v>0.0023</v>
      </c>
      <c r="P17" s="65">
        <f>1-Q17</f>
        <v>0.748275</v>
      </c>
      <c r="Q17" s="65">
        <f>1-(1-D17)*(1-p_death_advanced)</f>
        <v>0.251725</v>
      </c>
      <c r="R17" s="67">
        <f>R16*I16+S16*L16</f>
        <v>98379.32115368961</v>
      </c>
      <c r="S17" s="67">
        <f>R16*J16+S16*M16</f>
        <v>93.43732922417988</v>
      </c>
      <c r="T17" s="67">
        <f>S16*N16+T16*P16</f>
        <v>56.166202472290344</v>
      </c>
      <c r="U17" s="67">
        <f>U16+R16*K16+S16*O16+T16*Q16</f>
        <v>1471.0753146139446</v>
      </c>
      <c r="V17" s="67">
        <f>R17+S17+T17</f>
        <v>98528.92468538608</v>
      </c>
      <c r="W17" s="67">
        <f>R17*J17</f>
        <v>34.35356705026265</v>
      </c>
      <c r="X17" s="67">
        <f>S17*(1-D17)*H17</f>
        <v>9.322242336696425</v>
      </c>
      <c r="Y17" s="67">
        <f>S17*(1-D17)*(1-H17)*p_progression</f>
        <v>20.97504525756696</v>
      </c>
      <c r="Z17" s="67">
        <f>X17+Y17</f>
        <v>30.297287594263388</v>
      </c>
      <c r="AA17" s="67">
        <f>T17*(1-D17)*p_death_advanced</f>
        <v>14.009255051651019</v>
      </c>
      <c r="AB17" s="67">
        <f>(R17+S17)*G17</f>
        <v>0.0</v>
      </c>
      <c r="AC17" s="67">
        <f>G17*(R17*(1-screen_specificity)+S17*screen_sensitivity)</f>
        <v>0.0</v>
      </c>
      <c r="AD17" s="68">
        <f>AB17*cost_screen_test+AC17*cost_followup_test</f>
        <v>0.0</v>
      </c>
      <c r="AE17" s="68">
        <f>X17*cost_early_treatment</f>
        <v>139833.63505044638</v>
      </c>
      <c r="AF17" s="68">
        <f>T17*cost_advanced_year</f>
        <v>1123324.0494458068</v>
      </c>
      <c r="AG17" s="68">
        <f>AD17+AE17+AF17</f>
        <v>1263157.6844962533</v>
      </c>
      <c r="AH17" s="67">
        <f>V17</f>
        <v>98528.92468538608</v>
      </c>
      <c r="AI17" s="67">
        <f>R17*u_healthy+S17*u_early+T17*u_advanced</f>
        <v>88651.70217952097</v>
      </c>
      <c r="AJ17" s="69">
        <f>1/(1+disc_costs)^A17</f>
        <v>0.7894092343139355</v>
      </c>
      <c r="AK17" s="69">
        <f>1/(1+disc_effects)^A17</f>
        <v>0.7894092343139355</v>
      </c>
      <c r="AL17" s="68">
        <f>AG17*AJ17</f>
        <v>997148.340535951</v>
      </c>
      <c r="AM17" s="67">
        <f>AI17*AK17</f>
        <v>69982.4723381627</v>
      </c>
      <c r="AN17" s="67">
        <f>AH17*AK17</f>
        <v>77779.64299366604</v>
      </c>
      <c r="AO17" s="64" t="str">
        <f>IF(AND(ABS(V17+U17-cohort_size)&lt;0.000001*cohort_size,MIN(I17:Q17)&gt;=0,MAX(I17:Q17)&lt;=1),"OK","CHECK")</f>
        <v>OK</v>
      </c>
    </row>
    <row r="18">
      <c r="A18" s="63">
        <f>A17+1</f>
        <v>9.0</v>
      </c>
      <c r="B18" s="63">
        <f>start_age+A18</f>
        <v>49.0</v>
      </c>
      <c r="C18" s="64" t="str">
        <f>INDEX(age_band_label,MATCH(B18,age_band_start,1))</f>
        <v>45-49</v>
      </c>
      <c r="D18" s="65">
        <f>INDEX(p_background_death,MATCH(B18,age_band_start,1))</f>
        <v>0.0023</v>
      </c>
      <c r="E18" s="65">
        <f>INDEX(p_cancer_onset,MATCH(B18,age_band_start,1))</f>
        <v>0.00035</v>
      </c>
      <c r="F18" s="63">
        <f>IF(AND($B$3="Yes",B18&gt;=$E$3,B18&lt;=$H$3),1,0)</f>
        <v>0.0</v>
      </c>
      <c r="G18" s="66">
        <f>F18*screen_participation</f>
        <v>0.0</v>
      </c>
      <c r="H18" s="65">
        <f>1-(1-p_detect_symptoms)*(1-G18*screen_sensitivity)</f>
        <v>0.09999999999999998</v>
      </c>
      <c r="I18" s="65">
        <f>1-J18-K18</f>
        <v>0.9973508050000001</v>
      </c>
      <c r="J18" s="65">
        <f>(1-D18)*E18</f>
        <v>0.000349195</v>
      </c>
      <c r="K18" s="65">
        <f>D18</f>
        <v>0.0023</v>
      </c>
      <c r="L18" s="65">
        <f>(1-D18)*H18*p_cure_early</f>
        <v>0.08979299999999998</v>
      </c>
      <c r="M18" s="65">
        <f>(1-D18)*(1-H18)*(1-p_progression)</f>
        <v>0.6734475</v>
      </c>
      <c r="N18" s="65">
        <f>(1-D18)*(H18*(1-p_cure_early)+(1-H18)*p_progression)</f>
        <v>0.2344595</v>
      </c>
      <c r="O18" s="65">
        <f>D18</f>
        <v>0.0023</v>
      </c>
      <c r="P18" s="65">
        <f>1-Q18</f>
        <v>0.748275</v>
      </c>
      <c r="Q18" s="65">
        <f>1-(1-D18)*(1-p_death_advanced)</f>
        <v>0.251725</v>
      </c>
      <c r="R18" s="67">
        <f>R17*I17+S17*L17</f>
        <v>98127.0851660889</v>
      </c>
      <c r="S18" s="67">
        <f>R17*J17+S17*M17</f>
        <v>97.27870282296352</v>
      </c>
      <c r="T18" s="67">
        <f>S17*N17+T17*P17</f>
        <v>63.93503464618966</v>
      </c>
      <c r="U18" s="67">
        <f>U17+R17*K17+S17*O17+T17*Q17</f>
        <v>1711.7010964419835</v>
      </c>
      <c r="V18" s="67">
        <f>R18+S18+T18</f>
        <v>98288.29890355805</v>
      </c>
      <c r="W18" s="67">
        <f>R18*J18</f>
        <v>34.26548750457241</v>
      </c>
      <c r="X18" s="67">
        <f>S18*(1-D18)*H18</f>
        <v>9.705496180647069</v>
      </c>
      <c r="Y18" s="67">
        <f>S18*(1-D18)*(1-H18)*p_progression</f>
        <v>21.83736640645591</v>
      </c>
      <c r="Z18" s="67">
        <f>X18+Y18</f>
        <v>31.54286258710298</v>
      </c>
      <c r="AA18" s="67">
        <f>T18*(1-D18)*p_death_advanced</f>
        <v>15.946996016625857</v>
      </c>
      <c r="AB18" s="67">
        <f>(R18+S18)*G18</f>
        <v>0.0</v>
      </c>
      <c r="AC18" s="67">
        <f>G18*(R18*(1-screen_specificity)+S18*screen_sensitivity)</f>
        <v>0.0</v>
      </c>
      <c r="AD18" s="68">
        <f>AB18*cost_screen_test+AC18*cost_followup_test</f>
        <v>0.0</v>
      </c>
      <c r="AE18" s="68">
        <f>X18*cost_early_treatment</f>
        <v>145582.44270970603</v>
      </c>
      <c r="AF18" s="68">
        <f>T18*cost_advanced_year</f>
        <v>1278700.6929237933</v>
      </c>
      <c r="AG18" s="68">
        <f>AD18+AE18+AF18</f>
        <v>1424283.1356334994</v>
      </c>
      <c r="AH18" s="67">
        <f>V18</f>
        <v>98288.29890355805</v>
      </c>
      <c r="AI18" s="67">
        <f>R18*u_healthy+S18*u_early+T18*u_advanced</f>
        <v>88432.22781593492</v>
      </c>
      <c r="AJ18" s="69">
        <f>1/(1+disc_costs)^A18</f>
        <v>0.7664167323436267</v>
      </c>
      <c r="AK18" s="69">
        <f>1/(1+disc_effects)^A18</f>
        <v>0.7664167323436267</v>
      </c>
      <c r="AL18" s="68">
        <f>AG18*AJ18</f>
        <v>1091594.4267443612</v>
      </c>
      <c r="AM18" s="67">
        <f>AI18*AK18</f>
        <v>67775.93907655602</v>
      </c>
      <c r="AN18" s="67">
        <f>AH18*AK18</f>
        <v>75329.79687327864</v>
      </c>
      <c r="AO18" s="64" t="str">
        <f>IF(AND(ABS(V18+U18-cohort_size)&lt;0.000001*cohort_size,MIN(I18:Q18)&gt;=0,MAX(I18:Q18)&lt;=1),"OK","CHECK")</f>
        <v>OK</v>
      </c>
    </row>
    <row r="19">
      <c r="A19" s="63">
        <f>A18+1</f>
        <v>10.0</v>
      </c>
      <c r="B19" s="63">
        <f>start_age+A19</f>
        <v>50.0</v>
      </c>
      <c r="C19" s="64" t="str">
        <f>INDEX(age_band_label,MATCH(B19,age_band_start,1))</f>
        <v>50-54</v>
      </c>
      <c r="D19" s="65">
        <f>INDEX(p_background_death,MATCH(B19,age_band_start,1))</f>
        <v>0.0036</v>
      </c>
      <c r="E19" s="65">
        <f>INDEX(p_cancer_onset,MATCH(B19,age_band_start,1))</f>
        <v>0.00055</v>
      </c>
      <c r="F19" s="63">
        <f>IF(AND($B$3="Yes",B19&gt;=$E$3,B19&lt;=$H$3),1,0)</f>
        <v>0.0</v>
      </c>
      <c r="G19" s="66">
        <f>F19*screen_participation</f>
        <v>0.0</v>
      </c>
      <c r="H19" s="65">
        <f>1-(1-p_detect_symptoms)*(1-G19*screen_sensitivity)</f>
        <v>0.09999999999999998</v>
      </c>
      <c r="I19" s="65">
        <f>1-J19-K19</f>
        <v>0.99585198</v>
      </c>
      <c r="J19" s="65">
        <f>(1-D19)*E19</f>
        <v>0.00054802</v>
      </c>
      <c r="K19" s="65">
        <f>D19</f>
        <v>0.0036</v>
      </c>
      <c r="L19" s="65">
        <f>(1-D19)*H19*p_cure_early</f>
        <v>0.08967599999999998</v>
      </c>
      <c r="M19" s="65">
        <f>(1-D19)*(1-H19)*(1-p_progression)</f>
        <v>0.67257</v>
      </c>
      <c r="N19" s="65">
        <f>(1-D19)*(H19*(1-p_cure_early)+(1-H19)*p_progression)</f>
        <v>0.23415399999999997</v>
      </c>
      <c r="O19" s="65">
        <f>D19</f>
        <v>0.0036</v>
      </c>
      <c r="P19" s="65">
        <f>1-Q19</f>
        <v>0.7473</v>
      </c>
      <c r="Q19" s="65">
        <f>1-(1-D19)*(1-p_death_advanced)</f>
        <v>0.25270000000000004</v>
      </c>
      <c r="R19" s="67">
        <f>R18*I18+S18*L18</f>
        <v>97875.86232926491</v>
      </c>
      <c r="S19" s="67">
        <f>R18*J18+S18*M18</f>
        <v>99.77758672394015</v>
      </c>
      <c r="T19" s="67">
        <f>S18*N18+T18*P18</f>
        <v>70.64890407439819</v>
      </c>
      <c r="U19" s="67">
        <f>U18+R18*K18+S18*O18+T18*Q18</f>
        <v>1953.7111799367929</v>
      </c>
      <c r="V19" s="67">
        <f>R19+S19+T19</f>
        <v>98046.28882006326</v>
      </c>
      <c r="W19" s="67">
        <f>R19*J19</f>
        <v>53.637930073683755</v>
      </c>
      <c r="X19" s="67">
        <f>S19*(1-D19)*H19</f>
        <v>9.941838741173394</v>
      </c>
      <c r="Y19" s="67">
        <f>S19*(1-D19)*(1-H19)*p_progression</f>
        <v>22.36913716764014</v>
      </c>
      <c r="Z19" s="67">
        <f>X19+Y19</f>
        <v>32.31097590881353</v>
      </c>
      <c r="AA19" s="67">
        <f>T19*(1-D19)*p_death_advanced</f>
        <v>17.59864200493259</v>
      </c>
      <c r="AB19" s="67">
        <f>(R19+S19)*G19</f>
        <v>0.0</v>
      </c>
      <c r="AC19" s="67">
        <f>G19*(R19*(1-screen_specificity)+S19*screen_sensitivity)</f>
        <v>0.0</v>
      </c>
      <c r="AD19" s="68">
        <f>AB19*cost_screen_test+AC19*cost_followup_test</f>
        <v>0.0</v>
      </c>
      <c r="AE19" s="68">
        <f>X19*cost_early_treatment</f>
        <v>149127.5811176009</v>
      </c>
      <c r="AF19" s="68">
        <f>T19*cost_advanced_year</f>
        <v>1412978.0814879637</v>
      </c>
      <c r="AG19" s="68">
        <f>AD19+AE19+AF19</f>
        <v>1562105.6626055646</v>
      </c>
      <c r="AH19" s="67">
        <f>V19</f>
        <v>98046.28882006326</v>
      </c>
      <c r="AI19" s="67">
        <f>R19*u_healthy+S19*u_early+T19*u_advanced</f>
        <v>88211.94394229469</v>
      </c>
      <c r="AJ19" s="69">
        <f>1/(1+disc_costs)^A19</f>
        <v>0.7440939148967249</v>
      </c>
      <c r="AK19" s="69">
        <f>1/(1+disc_effects)^A19</f>
        <v>0.7440939148967249</v>
      </c>
      <c r="AL19" s="68">
        <f>AG19*AJ19</f>
        <v>1162353.317970517</v>
      </c>
      <c r="AM19" s="67">
        <f>AI19*AK19</f>
        <v>65637.9707086725</v>
      </c>
      <c r="AN19" s="67">
        <f>AH19*AK19</f>
        <v>72955.64688921586</v>
      </c>
      <c r="AO19" s="64" t="str">
        <f>IF(AND(ABS(V19+U19-cohort_size)&lt;0.000001*cohort_size,MIN(I19:Q19)&gt;=0,MAX(I19:Q19)&lt;=1),"OK","CHECK")</f>
        <v>OK</v>
      </c>
    </row>
    <row r="20">
      <c r="A20" s="63">
        <f>A19+1</f>
        <v>11.0</v>
      </c>
      <c r="B20" s="63">
        <f>start_age+A20</f>
        <v>51.0</v>
      </c>
      <c r="C20" s="64" t="str">
        <f>INDEX(age_band_label,MATCH(B20,age_band_start,1))</f>
        <v>50-54</v>
      </c>
      <c r="D20" s="65">
        <f>INDEX(p_background_death,MATCH(B20,age_band_start,1))</f>
        <v>0.0036</v>
      </c>
      <c r="E20" s="65">
        <f>INDEX(p_cancer_onset,MATCH(B20,age_band_start,1))</f>
        <v>0.00055</v>
      </c>
      <c r="F20" s="63">
        <f>IF(AND($B$3="Yes",B20&gt;=$E$3,B20&lt;=$H$3),1,0)</f>
        <v>0.0</v>
      </c>
      <c r="G20" s="66">
        <f>F20*screen_participation</f>
        <v>0.0</v>
      </c>
      <c r="H20" s="65">
        <f>1-(1-p_detect_symptoms)*(1-G20*screen_sensitivity)</f>
        <v>0.09999999999999998</v>
      </c>
      <c r="I20" s="65">
        <f>1-J20-K20</f>
        <v>0.99585198</v>
      </c>
      <c r="J20" s="65">
        <f>(1-D20)*E20</f>
        <v>0.00054802</v>
      </c>
      <c r="K20" s="65">
        <f>D20</f>
        <v>0.0036</v>
      </c>
      <c r="L20" s="65">
        <f>(1-D20)*H20*p_cure_early</f>
        <v>0.08967599999999998</v>
      </c>
      <c r="M20" s="65">
        <f>(1-D20)*(1-H20)*(1-p_progression)</f>
        <v>0.67257</v>
      </c>
      <c r="N20" s="65">
        <f>(1-D20)*(H20*(1-p_cure_early)+(1-H20)*p_progression)</f>
        <v>0.23415399999999997</v>
      </c>
      <c r="O20" s="65">
        <f>D20</f>
        <v>0.0036</v>
      </c>
      <c r="P20" s="65">
        <f>1-Q20</f>
        <v>0.7473</v>
      </c>
      <c r="Q20" s="65">
        <f>1-(1-D20)*(1-p_death_advanced)</f>
        <v>0.25270000000000004</v>
      </c>
      <c r="R20" s="67">
        <f>R19*I19+S19*L19</f>
        <v>97478.81894967292</v>
      </c>
      <c r="S20" s="67">
        <f>R19*J19+S19*M19</f>
        <v>120.74534157660418</v>
      </c>
      <c r="T20" s="67">
        <f>S19*N19+T19*P19</f>
        <v>76.15924705655524</v>
      </c>
      <c r="U20" s="67">
        <f>U19+R19*K19+S19*O19+T19*Q19</f>
        <v>2324.2764616939535</v>
      </c>
      <c r="V20" s="67">
        <f>R20+S20+T20</f>
        <v>97675.72353830608</v>
      </c>
      <c r="W20" s="67">
        <f>R20*J20</f>
        <v>53.42034236079975</v>
      </c>
      <c r="X20" s="67">
        <f>S20*(1-D20)*H20</f>
        <v>12.031065834692836</v>
      </c>
      <c r="Y20" s="67">
        <f>S20*(1-D20)*(1-H20)*p_progression</f>
        <v>27.069898128058888</v>
      </c>
      <c r="Z20" s="67">
        <f>X20+Y20</f>
        <v>39.10096396275172</v>
      </c>
      <c r="AA20" s="67">
        <f>T20*(1-D20)*p_death_advanced</f>
        <v>18.97126844178791</v>
      </c>
      <c r="AB20" s="67">
        <f>(R20+S20)*G20</f>
        <v>0.0</v>
      </c>
      <c r="AC20" s="67">
        <f>G20*(R20*(1-screen_specificity)+S20*screen_sensitivity)</f>
        <v>0.0</v>
      </c>
      <c r="AD20" s="68">
        <f>AB20*cost_screen_test+AC20*cost_followup_test</f>
        <v>0.0</v>
      </c>
      <c r="AE20" s="68">
        <f>X20*cost_early_treatment</f>
        <v>180465.98752039255</v>
      </c>
      <c r="AF20" s="68">
        <f>T20*cost_advanced_year</f>
        <v>1523184.941131105</v>
      </c>
      <c r="AG20" s="68">
        <f>AD20+AE20+AF20</f>
        <v>1703650.9286514975</v>
      </c>
      <c r="AH20" s="67">
        <f>V20</f>
        <v>97675.72353830608</v>
      </c>
      <c r="AI20" s="67">
        <f>R20*u_healthy+S20*u_early+T20*u_advanced</f>
        <v>87875.45818092686</v>
      </c>
      <c r="AJ20" s="69">
        <f>1/(1+disc_costs)^A20</f>
        <v>0.7224212765987621</v>
      </c>
      <c r="AK20" s="69">
        <f>1/(1+disc_effects)^A20</f>
        <v>0.7224212765987621</v>
      </c>
      <c r="AL20" s="68">
        <f>AG20*AJ20</f>
        <v>1230753.6787550813</v>
      </c>
      <c r="AM20" s="67">
        <f>AI20*AK20</f>
        <v>63483.100680766314</v>
      </c>
      <c r="AN20" s="67">
        <f>AH20*AK20</f>
        <v>70563.02089125082</v>
      </c>
      <c r="AO20" s="64" t="str">
        <f>IF(AND(ABS(V20+U20-cohort_size)&lt;0.000001*cohort_size,MIN(I20:Q20)&gt;=0,MAX(I20:Q20)&lt;=1),"OK","CHECK")</f>
        <v>OK</v>
      </c>
    </row>
    <row r="21">
      <c r="A21" s="63">
        <f>A20+1</f>
        <v>12.0</v>
      </c>
      <c r="B21" s="63">
        <f>start_age+A21</f>
        <v>52.0</v>
      </c>
      <c r="C21" s="64" t="str">
        <f>INDEX(age_band_label,MATCH(B21,age_band_start,1))</f>
        <v>50-54</v>
      </c>
      <c r="D21" s="65">
        <f>INDEX(p_background_death,MATCH(B21,age_band_start,1))</f>
        <v>0.0036</v>
      </c>
      <c r="E21" s="65">
        <f>INDEX(p_cancer_onset,MATCH(B21,age_band_start,1))</f>
        <v>0.00055</v>
      </c>
      <c r="F21" s="63">
        <f>IF(AND($B$3="Yes",B21&gt;=$E$3,B21&lt;=$H$3),1,0)</f>
        <v>0.0</v>
      </c>
      <c r="G21" s="66">
        <f>F21*screen_participation</f>
        <v>0.0</v>
      </c>
      <c r="H21" s="65">
        <f>1-(1-p_detect_symptoms)*(1-G21*screen_sensitivity)</f>
        <v>0.09999999999999998</v>
      </c>
      <c r="I21" s="65">
        <f>1-J21-K21</f>
        <v>0.99585198</v>
      </c>
      <c r="J21" s="65">
        <f>(1-D21)*E21</f>
        <v>0.00054802</v>
      </c>
      <c r="K21" s="65">
        <f>D21</f>
        <v>0.0036</v>
      </c>
      <c r="L21" s="65">
        <f>(1-D21)*H21*p_cure_early</f>
        <v>0.08967599999999998</v>
      </c>
      <c r="M21" s="65">
        <f>(1-D21)*(1-H21)*(1-p_progression)</f>
        <v>0.67257</v>
      </c>
      <c r="N21" s="65">
        <f>(1-D21)*(H21*(1-p_cure_early)+(1-H21)*p_progression)</f>
        <v>0.23415399999999997</v>
      </c>
      <c r="O21" s="65">
        <f>D21</f>
        <v>0.0036</v>
      </c>
      <c r="P21" s="65">
        <f>1-Q21</f>
        <v>0.7473</v>
      </c>
      <c r="Q21" s="65">
        <f>1-(1-D21)*(1-p_death_advanced)</f>
        <v>0.25270000000000004</v>
      </c>
      <c r="R21" s="67">
        <f>R20*I20+S20*L20</f>
        <v>97085.30281834451</v>
      </c>
      <c r="S21" s="67">
        <f>R20*J20+S20*M20</f>
        <v>134.63003674497642</v>
      </c>
      <c r="T21" s="67">
        <f>S20*N20+T20*P20</f>
        <v>85.1868100368919</v>
      </c>
      <c r="U21" s="67">
        <f>U20+R20*K20+S20*O20+T20*Q20</f>
        <v>2694.880334873643</v>
      </c>
      <c r="V21" s="67">
        <f>R21+S21+T21</f>
        <v>97305.11966512637</v>
      </c>
      <c r="W21" s="67">
        <f>R21*J21</f>
        <v>53.20468765050916</v>
      </c>
      <c r="X21" s="67">
        <f>S21*(1-D21)*H21</f>
        <v>13.414536861269449</v>
      </c>
      <c r="Y21" s="67">
        <f>S21*(1-D21)*(1-H21)*p_progression</f>
        <v>30.182707937856264</v>
      </c>
      <c r="Z21" s="67">
        <f>X21+Y21</f>
        <v>43.59724479912571</v>
      </c>
      <c r="AA21" s="67">
        <f>T21*(1-D21)*p_death_advanced</f>
        <v>21.22003438018977</v>
      </c>
      <c r="AB21" s="67">
        <f>(R21+S21)*G21</f>
        <v>0.0</v>
      </c>
      <c r="AC21" s="67">
        <f>G21*(R21*(1-screen_specificity)+S21*screen_sensitivity)</f>
        <v>0.0</v>
      </c>
      <c r="AD21" s="68">
        <f>AB21*cost_screen_test+AC21*cost_followup_test</f>
        <v>0.0</v>
      </c>
      <c r="AE21" s="68">
        <f>X21*cost_early_treatment</f>
        <v>201218.05291904174</v>
      </c>
      <c r="AF21" s="68">
        <f>T21*cost_advanced_year</f>
        <v>1703736.200737838</v>
      </c>
      <c r="AG21" s="68">
        <f>AD21+AE21+AF21</f>
        <v>1904954.2536568798</v>
      </c>
      <c r="AH21" s="67">
        <f>V21</f>
        <v>97305.11966512637</v>
      </c>
      <c r="AI21" s="67">
        <f>R21*u_healthy+S21*u_early+T21*u_advanced</f>
        <v>87538.06081326358</v>
      </c>
      <c r="AJ21" s="69">
        <f>1/(1+disc_costs)^A21</f>
        <v>0.7013798801929729</v>
      </c>
      <c r="AK21" s="69">
        <f>1/(1+disc_effects)^A21</f>
        <v>0.7013798801929729</v>
      </c>
      <c r="AL21" s="68">
        <f>AG21*AJ21</f>
        <v>1336096.5862029565</v>
      </c>
      <c r="AM21" s="67">
        <f>AI21*AK21</f>
        <v>61397.43460553199</v>
      </c>
      <c r="AN21" s="67">
        <f>AH21*AK21</f>
        <v>68247.85317288923</v>
      </c>
      <c r="AO21" s="64" t="str">
        <f>IF(AND(ABS(V21+U21-cohort_size)&lt;0.000001*cohort_size,MIN(I21:Q21)&gt;=0,MAX(I21:Q21)&lt;=1),"OK","CHECK")</f>
        <v>OK</v>
      </c>
    </row>
    <row r="22">
      <c r="A22" s="63">
        <f>A21+1</f>
        <v>13.0</v>
      </c>
      <c r="B22" s="63">
        <f>start_age+A22</f>
        <v>53.0</v>
      </c>
      <c r="C22" s="64" t="str">
        <f>INDEX(age_band_label,MATCH(B22,age_band_start,1))</f>
        <v>50-54</v>
      </c>
      <c r="D22" s="65">
        <f>INDEX(p_background_death,MATCH(B22,age_band_start,1))</f>
        <v>0.0036</v>
      </c>
      <c r="E22" s="65">
        <f>INDEX(p_cancer_onset,MATCH(B22,age_band_start,1))</f>
        <v>0.00055</v>
      </c>
      <c r="F22" s="63">
        <f>IF(AND($B$3="Yes",B22&gt;=$E$3,B22&lt;=$H$3),1,0)</f>
        <v>0.0</v>
      </c>
      <c r="G22" s="66">
        <f>F22*screen_participation</f>
        <v>0.0</v>
      </c>
      <c r="H22" s="65">
        <f>1-(1-p_detect_symptoms)*(1-G22*screen_sensitivity)</f>
        <v>0.09999999999999998</v>
      </c>
      <c r="I22" s="65">
        <f>1-J22-K22</f>
        <v>0.99585198</v>
      </c>
      <c r="J22" s="65">
        <f>(1-D22)*E22</f>
        <v>0.00054802</v>
      </c>
      <c r="K22" s="65">
        <f>D22</f>
        <v>0.0036</v>
      </c>
      <c r="L22" s="65">
        <f>(1-D22)*H22*p_cure_early</f>
        <v>0.08967599999999998</v>
      </c>
      <c r="M22" s="65">
        <f>(1-D22)*(1-H22)*(1-p_progression)</f>
        <v>0.67257</v>
      </c>
      <c r="N22" s="65">
        <f>(1-D22)*(H22*(1-p_cure_early)+(1-H22)*p_progression)</f>
        <v>0.23415399999999997</v>
      </c>
      <c r="O22" s="65">
        <f>D22</f>
        <v>0.0036</v>
      </c>
      <c r="P22" s="65">
        <f>1-Q22</f>
        <v>0.7473</v>
      </c>
      <c r="Q22" s="65">
        <f>1-(1-D22)*(1-p_death_advanced)</f>
        <v>0.25270000000000004</v>
      </c>
      <c r="R22" s="67">
        <f>R21*I21+S21*L21</f>
        <v>96694.66412372311</v>
      </c>
      <c r="S22" s="67">
        <f>R21*J21+S21*M21</f>
        <v>143.75281146407795</v>
      </c>
      <c r="T22" s="67">
        <f>S21*N21+T21*P21</f>
        <v>95.18426476455252</v>
      </c>
      <c r="U22" s="67">
        <f>U21+R21*K21+S21*O21+T21*Q21</f>
        <v>3066.3988000482877</v>
      </c>
      <c r="V22" s="67">
        <f>R22+S22+T22</f>
        <v>96933.60119995174</v>
      </c>
      <c r="W22" s="67">
        <f>R22*J22</f>
        <v>52.990609833082736</v>
      </c>
      <c r="X22" s="67">
        <f>S22*(1-D22)*H22</f>
        <v>14.323530134280725</v>
      </c>
      <c r="Y22" s="67">
        <f>S22*(1-D22)*(1-H22)*p_progression</f>
        <v>32.227942802131636</v>
      </c>
      <c r="Z22" s="67">
        <f>X22+Y22</f>
        <v>46.55147293641236</v>
      </c>
      <c r="AA22" s="67">
        <f>T22*(1-D22)*p_death_advanced</f>
        <v>23.710400352850034</v>
      </c>
      <c r="AB22" s="67">
        <f>(R22+S22)*G22</f>
        <v>0.0</v>
      </c>
      <c r="AC22" s="67">
        <f>G22*(R22*(1-screen_specificity)+S22*screen_sensitivity)</f>
        <v>0.0</v>
      </c>
      <c r="AD22" s="68">
        <f>AB22*cost_screen_test+AC22*cost_followup_test</f>
        <v>0.0</v>
      </c>
      <c r="AE22" s="68">
        <f>X22*cost_early_treatment</f>
        <v>214852.95201421087</v>
      </c>
      <c r="AF22" s="68">
        <f>T22*cost_advanced_year</f>
        <v>1903685.2952910506</v>
      </c>
      <c r="AG22" s="68">
        <f>AD22+AE22+AF22</f>
        <v>2118538.2473052614</v>
      </c>
      <c r="AH22" s="67">
        <f>V22</f>
        <v>96933.60119995174</v>
      </c>
      <c r="AI22" s="67">
        <f>R22*u_healthy+S22*u_early+T22*u_advanced</f>
        <v>87199.73894671578</v>
      </c>
      <c r="AJ22" s="69">
        <f>1/(1+disc_costs)^A22</f>
        <v>0.6809513399931775</v>
      </c>
      <c r="AK22" s="69">
        <f>1/(1+disc_effects)^A22</f>
        <v>0.6809513399931775</v>
      </c>
      <c r="AL22" s="68">
        <f>AG22*AJ22</f>
        <v>1442621.4583293153</v>
      </c>
      <c r="AM22" s="67">
        <f>AI22*AK22</f>
        <v>59378.77908282138</v>
      </c>
      <c r="AN22" s="67">
        <f>AH22*AK22</f>
        <v>66007.06562747141</v>
      </c>
      <c r="AO22" s="64" t="str">
        <f>IF(AND(ABS(V22+U22-cohort_size)&lt;0.000001*cohort_size,MIN(I22:Q22)&gt;=0,MAX(I22:Q22)&lt;=1),"OK","CHECK")</f>
        <v>OK</v>
      </c>
    </row>
    <row r="23">
      <c r="A23" s="63">
        <f>A22+1</f>
        <v>14.0</v>
      </c>
      <c r="B23" s="63">
        <f>start_age+A23</f>
        <v>54.0</v>
      </c>
      <c r="C23" s="64" t="str">
        <f>INDEX(age_band_label,MATCH(B23,age_band_start,1))</f>
        <v>50-54</v>
      </c>
      <c r="D23" s="65">
        <f>INDEX(p_background_death,MATCH(B23,age_band_start,1))</f>
        <v>0.0036</v>
      </c>
      <c r="E23" s="65">
        <f>INDEX(p_cancer_onset,MATCH(B23,age_band_start,1))</f>
        <v>0.00055</v>
      </c>
      <c r="F23" s="63">
        <f>IF(AND($B$3="Yes",B23&gt;=$E$3,B23&lt;=$H$3),1,0)</f>
        <v>0.0</v>
      </c>
      <c r="G23" s="66">
        <f>F23*screen_participation</f>
        <v>0.0</v>
      </c>
      <c r="H23" s="65">
        <f>1-(1-p_detect_symptoms)*(1-G23*screen_sensitivity)</f>
        <v>0.09999999999999998</v>
      </c>
      <c r="I23" s="65">
        <f>1-J23-K23</f>
        <v>0.99585198</v>
      </c>
      <c r="J23" s="65">
        <f>(1-D23)*E23</f>
        <v>0.00054802</v>
      </c>
      <c r="K23" s="65">
        <f>D23</f>
        <v>0.0036</v>
      </c>
      <c r="L23" s="65">
        <f>(1-D23)*H23*p_cure_early</f>
        <v>0.08967599999999998</v>
      </c>
      <c r="M23" s="65">
        <f>(1-D23)*(1-H23)*(1-p_progression)</f>
        <v>0.67257</v>
      </c>
      <c r="N23" s="65">
        <f>(1-D23)*(H23*(1-p_cure_early)+(1-H23)*p_progression)</f>
        <v>0.23415399999999997</v>
      </c>
      <c r="O23" s="65">
        <f>D23</f>
        <v>0.0036</v>
      </c>
      <c r="P23" s="65">
        <f>1-Q23</f>
        <v>0.7473</v>
      </c>
      <c r="Q23" s="65">
        <f>1-(1-D23)*(1-p_death_advanced)</f>
        <v>0.25270000000000004</v>
      </c>
      <c r="R23" s="67">
        <f>R22*I22+S22*L22</f>
        <v>96306.46390016547</v>
      </c>
      <c r="S23" s="67">
        <f>R22*J22+S22*M22</f>
        <v>149.67443823947764</v>
      </c>
      <c r="T23" s="67">
        <f>S22*N22+T22*P22</f>
        <v>104.79149687410981</v>
      </c>
      <c r="U23" s="67">
        <f>U22+R22*K22+S22*O22+T22*Q22</f>
        <v>3439.070164720964</v>
      </c>
      <c r="V23" s="67">
        <f>R23+S23+T23</f>
        <v>96560.92983527906</v>
      </c>
      <c r="W23" s="67">
        <f>R23*J23</f>
        <v>52.77786834656868</v>
      </c>
      <c r="X23" s="67">
        <f>S23*(1-D23)*H23</f>
        <v>14.913561026181549</v>
      </c>
      <c r="Y23" s="67">
        <f>S23*(1-D23)*(1-H23)*p_progression</f>
        <v>33.55551230890849</v>
      </c>
      <c r="Z23" s="67">
        <f>X23+Y23</f>
        <v>48.46907333509004</v>
      </c>
      <c r="AA23" s="67">
        <f>T23*(1-D23)*p_death_advanced</f>
        <v>26.10356187134075</v>
      </c>
      <c r="AB23" s="67">
        <f>(R23+S23)*G23</f>
        <v>0.0</v>
      </c>
      <c r="AC23" s="67">
        <f>G23*(R23*(1-screen_specificity)+S23*screen_sensitivity)</f>
        <v>0.0</v>
      </c>
      <c r="AD23" s="68">
        <f>AB23*cost_screen_test+AC23*cost_followup_test</f>
        <v>0.0</v>
      </c>
      <c r="AE23" s="68">
        <f>X23*cost_early_treatment</f>
        <v>223703.41539272323</v>
      </c>
      <c r="AF23" s="68">
        <f>T23*cost_advanced_year</f>
        <v>2095829.9374821961</v>
      </c>
      <c r="AG23" s="68">
        <f>AD23+AE23+AF23</f>
        <v>2319533.3528749193</v>
      </c>
      <c r="AH23" s="67">
        <f>V23</f>
        <v>96560.92983527906</v>
      </c>
      <c r="AI23" s="67">
        <f>R23*u_healthy+S23*u_early+T23*u_advanced</f>
        <v>86860.67610593325</v>
      </c>
      <c r="AJ23" s="69">
        <f>1/(1+disc_costs)^A23</f>
        <v>0.6611178058186189</v>
      </c>
      <c r="AK23" s="69">
        <f>1/(1+disc_effects)^A23</f>
        <v>0.6611178058186189</v>
      </c>
      <c r="AL23" s="68">
        <f>AG23*AJ23</f>
        <v>1533484.800775771</v>
      </c>
      <c r="AM23" s="67">
        <f>AI23*AK23</f>
        <v>57425.13959907633</v>
      </c>
      <c r="AN23" s="67">
        <f>AH23*AK23</f>
        <v>63838.15006050531</v>
      </c>
      <c r="AO23" s="64" t="str">
        <f>IF(AND(ABS(V23+U23-cohort_size)&lt;0.000001*cohort_size,MIN(I23:Q23)&gt;=0,MAX(I23:Q23)&lt;=1),"OK","CHECK")</f>
        <v>OK</v>
      </c>
    </row>
    <row r="24">
      <c r="A24" s="63">
        <f>A23+1</f>
        <v>15.0</v>
      </c>
      <c r="B24" s="63">
        <f>start_age+A24</f>
        <v>55.0</v>
      </c>
      <c r="C24" s="64" t="str">
        <f>INDEX(age_band_label,MATCH(B24,age_band_start,1))</f>
        <v>55-59</v>
      </c>
      <c r="D24" s="65">
        <f>INDEX(p_background_death,MATCH(B24,age_band_start,1))</f>
        <v>0.0055</v>
      </c>
      <c r="E24" s="65">
        <f>INDEX(p_cancer_onset,MATCH(B24,age_band_start,1))</f>
        <v>0.0008</v>
      </c>
      <c r="F24" s="63">
        <f>IF(AND($B$3="Yes",B24&gt;=$E$3,B24&lt;=$H$3),1,0)</f>
        <v>0.0</v>
      </c>
      <c r="G24" s="66">
        <f>F24*screen_participation</f>
        <v>0.0</v>
      </c>
      <c r="H24" s="65">
        <f>1-(1-p_detect_symptoms)*(1-G24*screen_sensitivity)</f>
        <v>0.09999999999999998</v>
      </c>
      <c r="I24" s="65">
        <f>1-J24-K24</f>
        <v>0.9937044</v>
      </c>
      <c r="J24" s="65">
        <f>(1-D24)*E24</f>
        <v>0.0007956</v>
      </c>
      <c r="K24" s="65">
        <f>D24</f>
        <v>0.0055</v>
      </c>
      <c r="L24" s="65">
        <f>(1-D24)*H24*p_cure_early</f>
        <v>0.08950499999999999</v>
      </c>
      <c r="M24" s="65">
        <f>(1-D24)*(1-H24)*(1-p_progression)</f>
        <v>0.6712875</v>
      </c>
      <c r="N24" s="65">
        <f>(1-D24)*(H24*(1-p_cure_early)+(1-H24)*p_progression)</f>
        <v>0.2337075</v>
      </c>
      <c r="O24" s="65">
        <f>D24</f>
        <v>0.0055</v>
      </c>
      <c r="P24" s="65">
        <f>1-Q24</f>
        <v>0.7458750000000001</v>
      </c>
      <c r="Q24" s="65">
        <f>1-(1-D24)*(1-p_death_advanced)</f>
        <v>0.25412499999999993</v>
      </c>
      <c r="R24" s="67">
        <f>R23*I23+S23*L23</f>
        <v>95920.40496670187</v>
      </c>
      <c r="S24" s="67">
        <f>R23*J23+S23*M23</f>
        <v>153.44440527329414</v>
      </c>
      <c r="T24" s="67">
        <f>S23*N23+T23*P23</f>
        <v>113.35755402554891</v>
      </c>
      <c r="U24" s="67">
        <f>U23+R23*K23+S23*O23+T23*Q23</f>
        <v>3812.7930739993094</v>
      </c>
      <c r="V24" s="67">
        <f>R24+S24+T24</f>
        <v>96187.20692600071</v>
      </c>
      <c r="W24" s="67">
        <f>R24*J24</f>
        <v>76.314274191508</v>
      </c>
      <c r="X24" s="67">
        <f>S24*(1-D24)*H24</f>
        <v>15.2600461044291</v>
      </c>
      <c r="Y24" s="67">
        <f>S24*(1-D24)*(1-H24)*p_progression</f>
        <v>34.33510373496548</v>
      </c>
      <c r="Z24" s="67">
        <f>X24+Y24</f>
        <v>49.59514983939458</v>
      </c>
      <c r="AA24" s="67">
        <f>T24*(1-D24)*p_death_advanced</f>
        <v>28.1835218696021</v>
      </c>
      <c r="AB24" s="67">
        <f>(R24+S24)*G24</f>
        <v>0.0</v>
      </c>
      <c r="AC24" s="67">
        <f>G24*(R24*(1-screen_specificity)+S24*screen_sensitivity)</f>
        <v>0.0</v>
      </c>
      <c r="AD24" s="68">
        <f>AB24*cost_screen_test+AC24*cost_followup_test</f>
        <v>0.0</v>
      </c>
      <c r="AE24" s="68">
        <f>X24*cost_early_treatment</f>
        <v>228900.6915664365</v>
      </c>
      <c r="AF24" s="68">
        <f>T24*cost_advanced_year</f>
        <v>2267151.080510978</v>
      </c>
      <c r="AG24" s="68">
        <f>AD24+AE24+AF24</f>
        <v>2496051.7720774147</v>
      </c>
      <c r="AH24" s="67">
        <f>V24</f>
        <v>96187.20692600071</v>
      </c>
      <c r="AI24" s="67">
        <f>R24*u_healthy+S24*u_early+T24*u_advanced</f>
        <v>86521.13886922803</v>
      </c>
      <c r="AJ24" s="69">
        <f>1/(1+disc_costs)^A24</f>
        <v>0.6418619473967174</v>
      </c>
      <c r="AK24" s="69">
        <f>1/(1+disc_effects)^A24</f>
        <v>0.6418619473967174</v>
      </c>
      <c r="AL24" s="68">
        <f>AG24*AJ24</f>
        <v>1602120.6512286367</v>
      </c>
      <c r="AM24" s="67">
        <f>AI24*AK24</f>
        <v>55534.626685584524</v>
      </c>
      <c r="AN24" s="67">
        <f>AH24*AK24</f>
        <v>61738.907952173846</v>
      </c>
      <c r="AO24" s="64" t="str">
        <f>IF(AND(ABS(V24+U24-cohort_size)&lt;0.000001*cohort_size,MIN(I24:Q24)&gt;=0,MAX(I24:Q24)&lt;=1),"OK","CHECK")</f>
        <v>OK</v>
      </c>
    </row>
    <row r="25">
      <c r="A25" s="63">
        <f>A24+1</f>
        <v>16.0</v>
      </c>
      <c r="B25" s="63">
        <f>start_age+A25</f>
        <v>56.0</v>
      </c>
      <c r="C25" s="64" t="str">
        <f>INDEX(age_band_label,MATCH(B25,age_band_start,1))</f>
        <v>55-59</v>
      </c>
      <c r="D25" s="65">
        <f>INDEX(p_background_death,MATCH(B25,age_band_start,1))</f>
        <v>0.0055</v>
      </c>
      <c r="E25" s="65">
        <f>INDEX(p_cancer_onset,MATCH(B25,age_band_start,1))</f>
        <v>0.0008</v>
      </c>
      <c r="F25" s="63">
        <f>IF(AND($B$3="Yes",B25&gt;=$E$3,B25&lt;=$H$3),1,0)</f>
        <v>0.0</v>
      </c>
      <c r="G25" s="66">
        <f>F25*screen_participation</f>
        <v>0.0</v>
      </c>
      <c r="H25" s="65">
        <f>1-(1-p_detect_symptoms)*(1-G25*screen_sensitivity)</f>
        <v>0.09999999999999998</v>
      </c>
      <c r="I25" s="65">
        <f>1-J25-K25</f>
        <v>0.9937044</v>
      </c>
      <c r="J25" s="65">
        <f>(1-D25)*E25</f>
        <v>0.0007956</v>
      </c>
      <c r="K25" s="65">
        <f>D25</f>
        <v>0.0055</v>
      </c>
      <c r="L25" s="65">
        <f>(1-D25)*H25*p_cure_early</f>
        <v>0.08950499999999999</v>
      </c>
      <c r="M25" s="65">
        <f>(1-D25)*(1-H25)*(1-p_progression)</f>
        <v>0.6712875</v>
      </c>
      <c r="N25" s="65">
        <f>(1-D25)*(H25*(1-p_cure_early)+(1-H25)*p_progression)</f>
        <v>0.2337075</v>
      </c>
      <c r="O25" s="65">
        <f>D25</f>
        <v>0.0055</v>
      </c>
      <c r="P25" s="65">
        <f>1-Q25</f>
        <v>0.7458750000000001</v>
      </c>
      <c r="Q25" s="65">
        <f>1-(1-D25)*(1-p_death_advanced)</f>
        <v>0.25412499999999993</v>
      </c>
      <c r="R25" s="67">
        <f>R24*I24+S24*L24</f>
        <v>95330.26250668749</v>
      </c>
      <c r="S25" s="67">
        <f>R24*J24+S24*M24</f>
        <v>179.31958539640445</v>
      </c>
      <c r="T25" s="67">
        <f>S24*N24+T24*P24</f>
        <v>120.41167395421468</v>
      </c>
      <c r="U25" s="67">
        <f>U24+R24*K24+S24*O24+T24*Q24</f>
        <v>4370.006233961915</v>
      </c>
      <c r="V25" s="67">
        <f>R25+S25+T25</f>
        <v>95629.9937660381</v>
      </c>
      <c r="W25" s="67">
        <f>R25*J25</f>
        <v>75.84475685032056</v>
      </c>
      <c r="X25" s="67">
        <f>S25*(1-D25)*H25</f>
        <v>17.833332767672417</v>
      </c>
      <c r="Y25" s="67">
        <f>S25*(1-D25)*(1-H25)*p_progression</f>
        <v>40.12499872726295</v>
      </c>
      <c r="Z25" s="67">
        <f>X25+Y25</f>
        <v>57.958331494935365</v>
      </c>
      <c r="AA25" s="67">
        <f>T25*(1-D25)*p_death_advanced</f>
        <v>29.937352436866625</v>
      </c>
      <c r="AB25" s="67">
        <f>(R25+S25)*G25</f>
        <v>0.0</v>
      </c>
      <c r="AC25" s="67">
        <f>G25*(R25*(1-screen_specificity)+S25*screen_sensitivity)</f>
        <v>0.0</v>
      </c>
      <c r="AD25" s="68">
        <f>AB25*cost_screen_test+AC25*cost_followup_test</f>
        <v>0.0</v>
      </c>
      <c r="AE25" s="68">
        <f>X25*cost_early_treatment</f>
        <v>267499.99151508627</v>
      </c>
      <c r="AF25" s="68">
        <f>T25*cost_advanced_year</f>
        <v>2408233.4790842934</v>
      </c>
      <c r="AG25" s="68">
        <f>AD25+AE25+AF25</f>
        <v>2675733.4705993794</v>
      </c>
      <c r="AH25" s="67">
        <f>V25</f>
        <v>95629.9937660381</v>
      </c>
      <c r="AI25" s="67">
        <f>R25*u_healthy+S25*u_early+T25*u_advanced</f>
        <v>86015.88432428052</v>
      </c>
      <c r="AJ25" s="69">
        <f>1/(1+disc_costs)^A25</f>
        <v>0.6231669392201139</v>
      </c>
      <c r="AK25" s="69">
        <f>1/(1+disc_effects)^A25</f>
        <v>0.6231669392201139</v>
      </c>
      <c r="AL25" s="68">
        <f>AG25*AJ25</f>
        <v>1667428.637042228</v>
      </c>
      <c r="AM25" s="67">
        <f>AI25*AK25</f>
        <v>53602.25535867326</v>
      </c>
      <c r="AN25" s="67">
        <f>AH25*AK25</f>
        <v>59593.450512820535</v>
      </c>
      <c r="AO25" s="64" t="str">
        <f>IF(AND(ABS(V25+U25-cohort_size)&lt;0.000001*cohort_size,MIN(I25:Q25)&gt;=0,MAX(I25:Q25)&lt;=1),"OK","CHECK")</f>
        <v>OK</v>
      </c>
    </row>
    <row r="26">
      <c r="A26" s="63">
        <f>A25+1</f>
        <v>17.0</v>
      </c>
      <c r="B26" s="63">
        <f>start_age+A26</f>
        <v>57.0</v>
      </c>
      <c r="C26" s="64" t="str">
        <f>INDEX(age_band_label,MATCH(B26,age_band_start,1))</f>
        <v>55-59</v>
      </c>
      <c r="D26" s="65">
        <f>INDEX(p_background_death,MATCH(B26,age_band_start,1))</f>
        <v>0.0055</v>
      </c>
      <c r="E26" s="65">
        <f>INDEX(p_cancer_onset,MATCH(B26,age_band_start,1))</f>
        <v>0.0008</v>
      </c>
      <c r="F26" s="63">
        <f>IF(AND($B$3="Yes",B26&gt;=$E$3,B26&lt;=$H$3),1,0)</f>
        <v>0.0</v>
      </c>
      <c r="G26" s="66">
        <f>F26*screen_participation</f>
        <v>0.0</v>
      </c>
      <c r="H26" s="65">
        <f>1-(1-p_detect_symptoms)*(1-G26*screen_sensitivity)</f>
        <v>0.09999999999999998</v>
      </c>
      <c r="I26" s="65">
        <f>1-J26-K26</f>
        <v>0.9937044</v>
      </c>
      <c r="J26" s="65">
        <f>(1-D26)*E26</f>
        <v>0.0007956</v>
      </c>
      <c r="K26" s="65">
        <f>D26</f>
        <v>0.0055</v>
      </c>
      <c r="L26" s="65">
        <f>(1-D26)*H26*p_cure_early</f>
        <v>0.08950499999999999</v>
      </c>
      <c r="M26" s="65">
        <f>(1-D26)*(1-H26)*(1-p_progression)</f>
        <v>0.6712875</v>
      </c>
      <c r="N26" s="65">
        <f>(1-D26)*(H26*(1-p_cure_early)+(1-H26)*p_progression)</f>
        <v>0.2337075</v>
      </c>
      <c r="O26" s="65">
        <f>D26</f>
        <v>0.0055</v>
      </c>
      <c r="P26" s="65">
        <f>1-Q26</f>
        <v>0.7458750000000001</v>
      </c>
      <c r="Q26" s="65">
        <f>1-(1-D26)*(1-p_death_advanced)</f>
        <v>0.25412499999999993</v>
      </c>
      <c r="R26" s="67">
        <f>R25*I25+S25*L25</f>
        <v>94746.1513055413</v>
      </c>
      <c r="S26" s="67">
        <f>R25*J25+S25*M25</f>
        <v>196.21975303210942</v>
      </c>
      <c r="T26" s="67">
        <f>S25*N25+T25*P25</f>
        <v>131.72038931463007</v>
      </c>
      <c r="U26" s="67">
        <f>U25+R25*K25+S25*O25+T25*Q25</f>
        <v>4925.9085521119905</v>
      </c>
      <c r="V26" s="67">
        <f>R26+S26+T26</f>
        <v>95074.09144788804</v>
      </c>
      <c r="W26" s="67">
        <f>R26*J26</f>
        <v>75.38003797868866</v>
      </c>
      <c r="X26" s="67">
        <f>S26*(1-D26)*H26</f>
        <v>19.514054439043278</v>
      </c>
      <c r="Y26" s="67">
        <f>S26*(1-D26)*(1-H26)*p_progression</f>
        <v>43.906622487847386</v>
      </c>
      <c r="Z26" s="67">
        <f>X26+Y26</f>
        <v>63.420676926890664</v>
      </c>
      <c r="AA26" s="67">
        <f>T26*(1-D26)*p_death_advanced</f>
        <v>32.748981793349905</v>
      </c>
      <c r="AB26" s="67">
        <f>(R26+S26)*G26</f>
        <v>0.0</v>
      </c>
      <c r="AC26" s="67">
        <f>G26*(R26*(1-screen_specificity)+S26*screen_sensitivity)</f>
        <v>0.0</v>
      </c>
      <c r="AD26" s="68">
        <f>AB26*cost_screen_test+AC26*cost_followup_test</f>
        <v>0.0</v>
      </c>
      <c r="AE26" s="68">
        <f>X26*cost_early_treatment</f>
        <v>292710.81658564915</v>
      </c>
      <c r="AF26" s="68">
        <f>T26*cost_advanced_year</f>
        <v>2634407.7862926014</v>
      </c>
      <c r="AG26" s="68">
        <f>AD26+AE26+AF26</f>
        <v>2927118.6028782506</v>
      </c>
      <c r="AH26" s="67">
        <f>V26</f>
        <v>95074.09144788804</v>
      </c>
      <c r="AI26" s="67">
        <f>R26*u_healthy+S26*u_early+T26*u_advanced</f>
        <v>85510.76917918751</v>
      </c>
      <c r="AJ26" s="69">
        <f>1/(1+disc_costs)^A26</f>
        <v>0.6050164458447708</v>
      </c>
      <c r="AK26" s="69">
        <f>1/(1+disc_effects)^A26</f>
        <v>0.6050164458447708</v>
      </c>
      <c r="AL26" s="68">
        <f>AG26*AJ26</f>
        <v>1770954.89367951</v>
      </c>
      <c r="AM26" s="67">
        <f>AI26*AK26</f>
        <v>51735.42165024459</v>
      </c>
      <c r="AN26" s="67">
        <f>AH26*AK26</f>
        <v>57521.38889972194</v>
      </c>
      <c r="AO26" s="64" t="str">
        <f>IF(AND(ABS(V26+U26-cohort_size)&lt;0.000001*cohort_size,MIN(I26:Q26)&gt;=0,MAX(I26:Q26)&lt;=1),"OK","CHECK")</f>
        <v>OK</v>
      </c>
    </row>
    <row r="27">
      <c r="A27" s="63">
        <f>A26+1</f>
        <v>18.0</v>
      </c>
      <c r="B27" s="63">
        <f>start_age+A27</f>
        <v>58.0</v>
      </c>
      <c r="C27" s="64" t="str">
        <f>INDEX(age_band_label,MATCH(B27,age_band_start,1))</f>
        <v>55-59</v>
      </c>
      <c r="D27" s="65">
        <f>INDEX(p_background_death,MATCH(B27,age_band_start,1))</f>
        <v>0.0055</v>
      </c>
      <c r="E27" s="65">
        <f>INDEX(p_cancer_onset,MATCH(B27,age_band_start,1))</f>
        <v>0.0008</v>
      </c>
      <c r="F27" s="63">
        <f>IF(AND($B$3="Yes",B27&gt;=$E$3,B27&lt;=$H$3),1,0)</f>
        <v>0.0</v>
      </c>
      <c r="G27" s="66">
        <f>F27*screen_participation</f>
        <v>0.0</v>
      </c>
      <c r="H27" s="65">
        <f>1-(1-p_detect_symptoms)*(1-G27*screen_sensitivity)</f>
        <v>0.09999999999999998</v>
      </c>
      <c r="I27" s="65">
        <f>1-J27-K27</f>
        <v>0.9937044</v>
      </c>
      <c r="J27" s="65">
        <f>(1-D27)*E27</f>
        <v>0.0007956</v>
      </c>
      <c r="K27" s="65">
        <f>D27</f>
        <v>0.0055</v>
      </c>
      <c r="L27" s="65">
        <f>(1-D27)*H27*p_cure_early</f>
        <v>0.08950499999999999</v>
      </c>
      <c r="M27" s="65">
        <f>(1-D27)*(1-H27)*(1-p_progression)</f>
        <v>0.6712875</v>
      </c>
      <c r="N27" s="65">
        <f>(1-D27)*(H27*(1-p_cure_early)+(1-H27)*p_progression)</f>
        <v>0.2337075</v>
      </c>
      <c r="O27" s="65">
        <f>D27</f>
        <v>0.0055</v>
      </c>
      <c r="P27" s="65">
        <f>1-Q27</f>
        <v>0.7458750000000001</v>
      </c>
      <c r="Q27" s="65">
        <f>1-(1-D27)*(1-p_death_advanced)</f>
        <v>0.25412499999999993</v>
      </c>
      <c r="R27" s="67">
        <f>R26*I26+S26*L26</f>
        <v>94167.23008437727</v>
      </c>
      <c r="S27" s="67">
        <f>R26*J26+S26*M26</f>
        <v>207.0999054422308</v>
      </c>
      <c r="T27" s="67">
        <f>S26*N26+T26*P26</f>
        <v>144.10497331180142</v>
      </c>
      <c r="U27" s="67">
        <f>U26+R26*K26+S26*O26+T26*Q26</f>
        <v>5481.565036868725</v>
      </c>
      <c r="V27" s="67">
        <f>R27+S27+T27</f>
        <v>94518.4349631313</v>
      </c>
      <c r="W27" s="67">
        <f>R27*J27</f>
        <v>74.91944825513056</v>
      </c>
      <c r="X27" s="67">
        <f>S27*(1-D27)*H27</f>
        <v>20.59608559622985</v>
      </c>
      <c r="Y27" s="67">
        <f>S27*(1-D27)*(1-H27)*p_progression</f>
        <v>46.34119259151718</v>
      </c>
      <c r="Z27" s="67">
        <f>X27+Y27</f>
        <v>66.93727818774703</v>
      </c>
      <c r="AA27" s="67">
        <f>T27*(1-D27)*p_death_advanced</f>
        <v>35.82809898964663</v>
      </c>
      <c r="AB27" s="67">
        <f>(R27+S27)*G27</f>
        <v>0.0</v>
      </c>
      <c r="AC27" s="67">
        <f>G27*(R27*(1-screen_specificity)+S27*screen_sensitivity)</f>
        <v>0.0</v>
      </c>
      <c r="AD27" s="68">
        <f>AB27*cost_screen_test+AC27*cost_followup_test</f>
        <v>0.0</v>
      </c>
      <c r="AE27" s="68">
        <f>X27*cost_early_treatment</f>
        <v>308941.28394344775</v>
      </c>
      <c r="AF27" s="68">
        <f>T27*cost_advanced_year</f>
        <v>2882099.4662360284</v>
      </c>
      <c r="AG27" s="68">
        <f>AD27+AE27+AF27</f>
        <v>3191040.750179476</v>
      </c>
      <c r="AH27" s="67">
        <f>V27</f>
        <v>94518.4349631313</v>
      </c>
      <c r="AI27" s="67">
        <f>R27*u_healthy+S27*u_early+T27*u_advanced</f>
        <v>85005.79973088692</v>
      </c>
      <c r="AJ27" s="69">
        <f>1/(1+disc_costs)^A27</f>
        <v>0.5873946076162823</v>
      </c>
      <c r="AK27" s="69">
        <f>1/(1+disc_effects)^A27</f>
        <v>0.5873946076162823</v>
      </c>
      <c r="AL27" s="68">
        <f>AG27*AJ27</f>
        <v>1874400.1293392403</v>
      </c>
      <c r="AM27" s="67">
        <f>AI27*AK27</f>
        <v>49931.9483780326</v>
      </c>
      <c r="AN27" s="67">
        <f>AH27*AK27</f>
        <v>55519.6190176736</v>
      </c>
      <c r="AO27" s="64" t="str">
        <f>IF(AND(ABS(V27+U27-cohort_size)&lt;0.000001*cohort_size,MIN(I27:Q27)&gt;=0,MAX(I27:Q27)&lt;=1),"OK","CHECK")</f>
        <v>OK</v>
      </c>
    </row>
    <row r="28">
      <c r="A28" s="63">
        <f>A27+1</f>
        <v>19.0</v>
      </c>
      <c r="B28" s="63">
        <f>start_age+A28</f>
        <v>59.0</v>
      </c>
      <c r="C28" s="64" t="str">
        <f>INDEX(age_band_label,MATCH(B28,age_band_start,1))</f>
        <v>55-59</v>
      </c>
      <c r="D28" s="65">
        <f>INDEX(p_background_death,MATCH(B28,age_band_start,1))</f>
        <v>0.0055</v>
      </c>
      <c r="E28" s="65">
        <f>INDEX(p_cancer_onset,MATCH(B28,age_band_start,1))</f>
        <v>0.0008</v>
      </c>
      <c r="F28" s="63">
        <f>IF(AND($B$3="Yes",B28&gt;=$E$3,B28&lt;=$H$3),1,0)</f>
        <v>0.0</v>
      </c>
      <c r="G28" s="66">
        <f>F28*screen_participation</f>
        <v>0.0</v>
      </c>
      <c r="H28" s="65">
        <f>1-(1-p_detect_symptoms)*(1-G28*screen_sensitivity)</f>
        <v>0.09999999999999998</v>
      </c>
      <c r="I28" s="65">
        <f>1-J28-K28</f>
        <v>0.9937044</v>
      </c>
      <c r="J28" s="65">
        <f>(1-D28)*E28</f>
        <v>0.0007956</v>
      </c>
      <c r="K28" s="65">
        <f>D28</f>
        <v>0.0055</v>
      </c>
      <c r="L28" s="65">
        <f>(1-D28)*H28*p_cure_early</f>
        <v>0.08950499999999999</v>
      </c>
      <c r="M28" s="65">
        <f>(1-D28)*(1-H28)*(1-p_progression)</f>
        <v>0.6712875</v>
      </c>
      <c r="N28" s="65">
        <f>(1-D28)*(H28*(1-p_cure_early)+(1-H28)*p_progression)</f>
        <v>0.2337075</v>
      </c>
      <c r="O28" s="65">
        <f>D28</f>
        <v>0.0055</v>
      </c>
      <c r="P28" s="65">
        <f>1-Q28</f>
        <v>0.7458750000000001</v>
      </c>
      <c r="Q28" s="65">
        <f>1-(1-D28)*(1-p_death_advanced)</f>
        <v>0.25412499999999993</v>
      </c>
      <c r="R28" s="67">
        <f>R27*I27+S27*L27</f>
        <v>93592.92734769468</v>
      </c>
      <c r="S28" s="67">
        <f>R27*J27+S27*M27</f>
        <v>213.94302602968207</v>
      </c>
      <c r="T28" s="67">
        <f>S27*N27+T27*P27</f>
        <v>155.88509812008004</v>
      </c>
      <c r="U28" s="67">
        <f>U27+R27*K27+S27*O27+T27*Q27</f>
        <v>6037.244528155594</v>
      </c>
      <c r="V28" s="67">
        <f>R28+S28+T28</f>
        <v>93962.75547184444</v>
      </c>
      <c r="W28" s="67">
        <f>R28*J28</f>
        <v>74.46253299782589</v>
      </c>
      <c r="X28" s="67">
        <f>S28*(1-D28)*H28</f>
        <v>21.27663393865188</v>
      </c>
      <c r="Y28" s="67">
        <f>S28*(1-D28)*(1-H28)*p_progression</f>
        <v>47.87242636196674</v>
      </c>
      <c r="Z28" s="67">
        <f>X28+Y28</f>
        <v>69.14906030061861</v>
      </c>
      <c r="AA28" s="67">
        <f>T28*(1-D28)*p_death_advanced</f>
        <v>38.756932520104904</v>
      </c>
      <c r="AB28" s="67">
        <f>(R28+S28)*G28</f>
        <v>0.0</v>
      </c>
      <c r="AC28" s="67">
        <f>G28*(R28*(1-screen_specificity)+S28*screen_sensitivity)</f>
        <v>0.0</v>
      </c>
      <c r="AD28" s="68">
        <f>AB28*cost_screen_test+AC28*cost_followup_test</f>
        <v>0.0</v>
      </c>
      <c r="AE28" s="68">
        <f>X28*cost_early_treatment</f>
        <v>319149.5090797782</v>
      </c>
      <c r="AF28" s="68">
        <f>T28*cost_advanced_year</f>
        <v>3117701.962401601</v>
      </c>
      <c r="AG28" s="68">
        <f>AD28+AE28+AF28</f>
        <v>3436851.471481379</v>
      </c>
      <c r="AH28" s="67">
        <f>V28</f>
        <v>93962.75547184444</v>
      </c>
      <c r="AI28" s="67">
        <f>R28*u_healthy+S28*u_early+T28*u_advanced</f>
        <v>84501.2229890165</v>
      </c>
      <c r="AJ28" s="69">
        <f>1/(1+disc_costs)^A28</f>
        <v>0.5702860268119245</v>
      </c>
      <c r="AK28" s="69">
        <f>1/(1+disc_effects)^A28</f>
        <v>0.5702860268119245</v>
      </c>
      <c r="AL28" s="68">
        <f>AG28*AJ28</f>
        <v>1959988.3704138321</v>
      </c>
      <c r="AM28" s="67">
        <f>AI28*AK28</f>
        <v>48189.86671915468</v>
      </c>
      <c r="AN28" s="67">
        <f>AH28*AK28</f>
        <v>53585.64648633859</v>
      </c>
      <c r="AO28" s="64" t="str">
        <f>IF(AND(ABS(V28+U28-cohort_size)&lt;0.000001*cohort_size,MIN(I28:Q28)&gt;=0,MAX(I28:Q28)&lt;=1),"OK","CHECK")</f>
        <v>OK</v>
      </c>
    </row>
    <row r="29">
      <c r="A29" s="63">
        <f>A28+1</f>
        <v>20.0</v>
      </c>
      <c r="B29" s="63">
        <f>start_age+A29</f>
        <v>60.0</v>
      </c>
      <c r="C29" s="64" t="str">
        <f>INDEX(age_band_label,MATCH(B29,age_band_start,1))</f>
        <v>60-64</v>
      </c>
      <c r="D29" s="65">
        <f>INDEX(p_background_death,MATCH(B29,age_band_start,1))</f>
        <v>0.0085</v>
      </c>
      <c r="E29" s="65">
        <f>INDEX(p_cancer_onset,MATCH(B29,age_band_start,1))</f>
        <v>0.0011</v>
      </c>
      <c r="F29" s="63">
        <f>IF(AND($B$3="Yes",B29&gt;=$E$3,B29&lt;=$H$3),1,0)</f>
        <v>0.0</v>
      </c>
      <c r="G29" s="66">
        <f>F29*screen_participation</f>
        <v>0.0</v>
      </c>
      <c r="H29" s="65">
        <f>1-(1-p_detect_symptoms)*(1-G29*screen_sensitivity)</f>
        <v>0.09999999999999998</v>
      </c>
      <c r="I29" s="65">
        <f>1-J29-K29</f>
        <v>0.9904093500000001</v>
      </c>
      <c r="J29" s="65">
        <f>(1-D29)*E29</f>
        <v>0.00109065</v>
      </c>
      <c r="K29" s="65">
        <f>D29</f>
        <v>0.0085</v>
      </c>
      <c r="L29" s="65">
        <f>(1-D29)*H29*p_cure_early</f>
        <v>0.089235</v>
      </c>
      <c r="M29" s="65">
        <f>(1-D29)*(1-H29)*(1-p_progression)</f>
        <v>0.6692625000000001</v>
      </c>
      <c r="N29" s="65">
        <f>(1-D29)*(H29*(1-p_cure_early)+(1-H29)*p_progression)</f>
        <v>0.2330025</v>
      </c>
      <c r="O29" s="65">
        <f>D29</f>
        <v>0.0085</v>
      </c>
      <c r="P29" s="65">
        <f>1-Q29</f>
        <v>0.743625</v>
      </c>
      <c r="Q29" s="65">
        <f>1-(1-D29)*(1-p_death_advanced)</f>
        <v>0.256375</v>
      </c>
      <c r="R29" s="67">
        <f>R28*I28+S28*L28</f>
        <v>93022.85268482933</v>
      </c>
      <c r="S29" s="67">
        <f>R28*J28+S28*M28</f>
        <v>218.0798120837261</v>
      </c>
      <c r="T29" s="67">
        <f>S28*N28+T28*P28</f>
        <v>166.27088731614663</v>
      </c>
      <c r="U29" s="67">
        <f>U28+R28*K28+S28*O28+T28*Q28</f>
        <v>6592.796615770843</v>
      </c>
      <c r="V29" s="67">
        <f>R29+S29+T29</f>
        <v>93407.2033842292</v>
      </c>
      <c r="W29" s="67">
        <f>R29*J29</f>
        <v>101.45537428070911</v>
      </c>
      <c r="X29" s="67">
        <f>S29*(1-D29)*H29</f>
        <v>21.622613368101437</v>
      </c>
      <c r="Y29" s="67">
        <f>S29*(1-D29)*(1-H29)*p_progression</f>
        <v>48.65088007822825</v>
      </c>
      <c r="Z29" s="67">
        <f>X29+Y29</f>
        <v>70.27349344632968</v>
      </c>
      <c r="AA29" s="67">
        <f>T29*(1-D29)*p_death_advanced</f>
        <v>41.21439619348985</v>
      </c>
      <c r="AB29" s="67">
        <f>(R29+S29)*G29</f>
        <v>0.0</v>
      </c>
      <c r="AC29" s="67">
        <f>G29*(R29*(1-screen_specificity)+S29*screen_sensitivity)</f>
        <v>0.0</v>
      </c>
      <c r="AD29" s="68">
        <f>AB29*cost_screen_test+AC29*cost_followup_test</f>
        <v>0.0</v>
      </c>
      <c r="AE29" s="68">
        <f>X29*cost_early_treatment</f>
        <v>324339.20052152156</v>
      </c>
      <c r="AF29" s="68">
        <f>T29*cost_advanced_year</f>
        <v>3325417.7463229327</v>
      </c>
      <c r="AG29" s="68">
        <f>AD29+AE29+AF29</f>
        <v>3649756.9468444544</v>
      </c>
      <c r="AH29" s="67">
        <f>V29</f>
        <v>93407.2033842292</v>
      </c>
      <c r="AI29" s="67">
        <f>R29*u_healthy+S29*u_early+T29*u_advanced</f>
        <v>83997.38424464145</v>
      </c>
      <c r="AJ29" s="69">
        <f>1/(1+disc_costs)^A29</f>
        <v>0.5536757541863345</v>
      </c>
      <c r="AK29" s="69">
        <f>1/(1+disc_effects)^A29</f>
        <v>0.5536757541863345</v>
      </c>
      <c r="AL29" s="68">
        <f>AG29*AJ29</f>
        <v>2020781.930140917</v>
      </c>
      <c r="AM29" s="67">
        <f>AI29*AK29</f>
        <v>46507.315071331184</v>
      </c>
      <c r="AN29" s="67">
        <f>AH29*AK29</f>
        <v>51717.30378019944</v>
      </c>
      <c r="AO29" s="64" t="str">
        <f>IF(AND(ABS(V29+U29-cohort_size)&lt;0.000001*cohort_size,MIN(I29:Q29)&gt;=0,MAX(I29:Q29)&lt;=1),"OK","CHECK")</f>
        <v>OK</v>
      </c>
    </row>
    <row r="30">
      <c r="A30" s="63">
        <f>A29+1</f>
        <v>21.0</v>
      </c>
      <c r="B30" s="63">
        <f>start_age+A30</f>
        <v>61.0</v>
      </c>
      <c r="C30" s="64" t="str">
        <f>INDEX(age_band_label,MATCH(B30,age_band_start,1))</f>
        <v>60-64</v>
      </c>
      <c r="D30" s="65">
        <f>INDEX(p_background_death,MATCH(B30,age_band_start,1))</f>
        <v>0.0085</v>
      </c>
      <c r="E30" s="65">
        <f>INDEX(p_cancer_onset,MATCH(B30,age_band_start,1))</f>
        <v>0.0011</v>
      </c>
      <c r="F30" s="63">
        <f>IF(AND($B$3="Yes",B30&gt;=$E$3,B30&lt;=$H$3),1,0)</f>
        <v>0.0</v>
      </c>
      <c r="G30" s="66">
        <f>F30*screen_participation</f>
        <v>0.0</v>
      </c>
      <c r="H30" s="65">
        <f>1-(1-p_detect_symptoms)*(1-G30*screen_sensitivity)</f>
        <v>0.09999999999999998</v>
      </c>
      <c r="I30" s="65">
        <f>1-J30-K30</f>
        <v>0.9904093500000001</v>
      </c>
      <c r="J30" s="65">
        <f>(1-D30)*E30</f>
        <v>0.00109065</v>
      </c>
      <c r="K30" s="65">
        <f>D30</f>
        <v>0.0085</v>
      </c>
      <c r="L30" s="65">
        <f>(1-D30)*H30*p_cure_early</f>
        <v>0.089235</v>
      </c>
      <c r="M30" s="65">
        <f>(1-D30)*(1-H30)*(1-p_progression)</f>
        <v>0.6692625000000001</v>
      </c>
      <c r="N30" s="65">
        <f>(1-D30)*(H30*(1-p_cure_early)+(1-H30)*p_progression)</f>
        <v>0.2330025</v>
      </c>
      <c r="O30" s="65">
        <f>D30</f>
        <v>0.0085</v>
      </c>
      <c r="P30" s="65">
        <f>1-Q30</f>
        <v>0.743625</v>
      </c>
      <c r="Q30" s="65">
        <f>1-(1-D30)*(1-p_death_advanced)</f>
        <v>0.256375</v>
      </c>
      <c r="R30" s="67">
        <f>R29*I29+S29*L29</f>
        <v>92150.16341475888</v>
      </c>
      <c r="S30" s="67">
        <f>R29*J29+S29*M29</f>
        <v>247.40801451539386</v>
      </c>
      <c r="T30" s="67">
        <f>S29*N29+T29*P29</f>
        <v>174.45632999550793</v>
      </c>
      <c r="U30" s="67">
        <f>U29+R29*K29+S29*O29+T29*Q29</f>
        <v>7427.972240730282</v>
      </c>
      <c r="V30" s="67">
        <f>R30+S30+T30</f>
        <v>92572.02775926978</v>
      </c>
      <c r="W30" s="67">
        <f>R30*J30</f>
        <v>100.50357572830677</v>
      </c>
      <c r="X30" s="67">
        <f>S30*(1-D30)*H30</f>
        <v>24.530504639201297</v>
      </c>
      <c r="Y30" s="67">
        <f>S30*(1-D30)*(1-H30)*p_progression</f>
        <v>55.19363543820293</v>
      </c>
      <c r="Z30" s="67">
        <f>X30+Y30</f>
        <v>79.72414007740423</v>
      </c>
      <c r="AA30" s="67">
        <f>T30*(1-D30)*p_death_advanced</f>
        <v>43.24336279763653</v>
      </c>
      <c r="AB30" s="67">
        <f>(R30+S30)*G30</f>
        <v>0.0</v>
      </c>
      <c r="AC30" s="67">
        <f>G30*(R30*(1-screen_specificity)+S30*screen_sensitivity)</f>
        <v>0.0</v>
      </c>
      <c r="AD30" s="68">
        <f>AB30*cost_screen_test+AC30*cost_followup_test</f>
        <v>0.0</v>
      </c>
      <c r="AE30" s="68">
        <f>X30*cost_early_treatment</f>
        <v>367957.56958801945</v>
      </c>
      <c r="AF30" s="68">
        <f>T30*cost_advanced_year</f>
        <v>3489126.5999101587</v>
      </c>
      <c r="AG30" s="68">
        <f>AD30+AE30+AF30</f>
        <v>3857084.169498178</v>
      </c>
      <c r="AH30" s="67">
        <f>V30</f>
        <v>92572.02775926978</v>
      </c>
      <c r="AI30" s="67">
        <f>R30*u_healthy+S30*u_early+T30*u_advanced</f>
        <v>83241.39486711861</v>
      </c>
      <c r="AJ30" s="69">
        <f>1/(1+disc_costs)^A30</f>
        <v>0.5375492759090627</v>
      </c>
      <c r="AK30" s="69">
        <f>1/(1+disc_effects)^A30</f>
        <v>0.5375492759090627</v>
      </c>
      <c r="AL30" s="68">
        <f>AG30*AJ30</f>
        <v>2073372.802434054</v>
      </c>
      <c r="AM30" s="67">
        <f>AI30*AK30</f>
        <v>44746.351536479975</v>
      </c>
      <c r="AN30" s="67">
        <f>AH30*AK30</f>
        <v>49762.02649142912</v>
      </c>
      <c r="AO30" s="64" t="str">
        <f>IF(AND(ABS(V30+U30-cohort_size)&lt;0.000001*cohort_size,MIN(I30:Q30)&gt;=0,MAX(I30:Q30)&lt;=1),"OK","CHECK")</f>
        <v>OK</v>
      </c>
    </row>
    <row r="31">
      <c r="A31" s="63">
        <f>A30+1</f>
        <v>22.0</v>
      </c>
      <c r="B31" s="63">
        <f>start_age+A31</f>
        <v>62.0</v>
      </c>
      <c r="C31" s="64" t="str">
        <f>INDEX(age_band_label,MATCH(B31,age_band_start,1))</f>
        <v>60-64</v>
      </c>
      <c r="D31" s="65">
        <f>INDEX(p_background_death,MATCH(B31,age_band_start,1))</f>
        <v>0.0085</v>
      </c>
      <c r="E31" s="65">
        <f>INDEX(p_cancer_onset,MATCH(B31,age_band_start,1))</f>
        <v>0.0011</v>
      </c>
      <c r="F31" s="63">
        <f>IF(AND($B$3="Yes",B31&gt;=$E$3,B31&lt;=$H$3),1,0)</f>
        <v>0.0</v>
      </c>
      <c r="G31" s="66">
        <f>F31*screen_participation</f>
        <v>0.0</v>
      </c>
      <c r="H31" s="65">
        <f>1-(1-p_detect_symptoms)*(1-G31*screen_sensitivity)</f>
        <v>0.09999999999999998</v>
      </c>
      <c r="I31" s="65">
        <f>1-J31-K31</f>
        <v>0.9904093500000001</v>
      </c>
      <c r="J31" s="65">
        <f>(1-D31)*E31</f>
        <v>0.00109065</v>
      </c>
      <c r="K31" s="65">
        <f>D31</f>
        <v>0.0085</v>
      </c>
      <c r="L31" s="65">
        <f>(1-D31)*H31*p_cure_early</f>
        <v>0.089235</v>
      </c>
      <c r="M31" s="65">
        <f>(1-D31)*(1-H31)*(1-p_progression)</f>
        <v>0.6692625000000001</v>
      </c>
      <c r="N31" s="65">
        <f>(1-D31)*(H31*(1-p_cure_early)+(1-H31)*p_progression)</f>
        <v>0.2330025</v>
      </c>
      <c r="O31" s="65">
        <f>D31</f>
        <v>0.0085</v>
      </c>
      <c r="P31" s="65">
        <f>1-Q31</f>
        <v>0.743625</v>
      </c>
      <c r="Q31" s="65">
        <f>1-(1-D31)*(1-p_death_advanced)</f>
        <v>0.256375</v>
      </c>
      <c r="R31" s="67">
        <f>R30*I30+S30*L30</f>
        <v>91288.4609041804</v>
      </c>
      <c r="S31" s="67">
        <f>R30*J30+S30*M30</f>
        <v>266.08448204291557</v>
      </c>
      <c r="T31" s="67">
        <f>S30*N30+T30*P30</f>
        <v>187.37677429503265</v>
      </c>
      <c r="U31" s="67">
        <f>U30+R30*K30+S30*O30+T30*Q30</f>
        <v>8258.077839481712</v>
      </c>
      <c r="V31" s="67">
        <f>R31+S31+T31</f>
        <v>91741.92216051836</v>
      </c>
      <c r="W31" s="67">
        <f>R31*J31</f>
        <v>99.56375988514436</v>
      </c>
      <c r="X31" s="67">
        <f>S31*(1-D31)*H31</f>
        <v>26.38227639455507</v>
      </c>
      <c r="Y31" s="67">
        <f>S31*(1-D31)*(1-H31)*p_progression</f>
        <v>59.360121887748925</v>
      </c>
      <c r="Z31" s="67">
        <f>X31+Y31</f>
        <v>85.742398282304</v>
      </c>
      <c r="AA31" s="67">
        <f>T31*(1-D31)*p_death_advanced</f>
        <v>46.44601792838122</v>
      </c>
      <c r="AB31" s="67">
        <f>(R31+S31)*G31</f>
        <v>0.0</v>
      </c>
      <c r="AC31" s="67">
        <f>G31*(R31*(1-screen_specificity)+S31*screen_sensitivity)</f>
        <v>0.0</v>
      </c>
      <c r="AD31" s="68">
        <f>AB31*cost_screen_test+AC31*cost_followup_test</f>
        <v>0.0</v>
      </c>
      <c r="AE31" s="68">
        <f>X31*cost_early_treatment</f>
        <v>395734.14591832604</v>
      </c>
      <c r="AF31" s="68">
        <f>T31*cost_advanced_year</f>
        <v>3747535.485900653</v>
      </c>
      <c r="AG31" s="68">
        <f>AD31+AE31+AF31</f>
        <v>4143269.631818979</v>
      </c>
      <c r="AH31" s="67">
        <f>V31</f>
        <v>91741.92216051836</v>
      </c>
      <c r="AI31" s="67">
        <f>R31*u_healthy+S31*u_early+T31*u_advanced</f>
        <v>82488.84384936112</v>
      </c>
      <c r="AJ31" s="69">
        <f>1/(1+disc_costs)^A31</f>
        <v>0.5218925008825851</v>
      </c>
      <c r="AK31" s="69">
        <f>1/(1+disc_effects)^A31</f>
        <v>0.5218925008825851</v>
      </c>
      <c r="AL31" s="68">
        <f>AG31*AJ31</f>
        <v>2162341.3499808745</v>
      </c>
      <c r="AM31" s="67">
        <f>AI31*AK31</f>
        <v>43050.30901145612</v>
      </c>
      <c r="AN31" s="67">
        <f>AH31*AK31</f>
        <v>47879.42119212838</v>
      </c>
      <c r="AO31" s="64" t="str">
        <f>IF(AND(ABS(V31+U31-cohort_size)&lt;0.000001*cohort_size,MIN(I31:Q31)&gt;=0,MAX(I31:Q31)&lt;=1),"OK","CHECK")</f>
        <v>OK</v>
      </c>
    </row>
    <row r="32">
      <c r="A32" s="63">
        <f>A31+1</f>
        <v>23.0</v>
      </c>
      <c r="B32" s="63">
        <f>start_age+A32</f>
        <v>63.0</v>
      </c>
      <c r="C32" s="64" t="str">
        <f>INDEX(age_band_label,MATCH(B32,age_band_start,1))</f>
        <v>60-64</v>
      </c>
      <c r="D32" s="65">
        <f>INDEX(p_background_death,MATCH(B32,age_band_start,1))</f>
        <v>0.0085</v>
      </c>
      <c r="E32" s="65">
        <f>INDEX(p_cancer_onset,MATCH(B32,age_band_start,1))</f>
        <v>0.0011</v>
      </c>
      <c r="F32" s="63">
        <f>IF(AND($B$3="Yes",B32&gt;=$E$3,B32&lt;=$H$3),1,0)</f>
        <v>0.0</v>
      </c>
      <c r="G32" s="66">
        <f>F32*screen_participation</f>
        <v>0.0</v>
      </c>
      <c r="H32" s="65">
        <f>1-(1-p_detect_symptoms)*(1-G32*screen_sensitivity)</f>
        <v>0.09999999999999998</v>
      </c>
      <c r="I32" s="65">
        <f>1-J32-K32</f>
        <v>0.9904093500000001</v>
      </c>
      <c r="J32" s="65">
        <f>(1-D32)*E32</f>
        <v>0.00109065</v>
      </c>
      <c r="K32" s="65">
        <f>D32</f>
        <v>0.0085</v>
      </c>
      <c r="L32" s="65">
        <f>(1-D32)*H32*p_cure_early</f>
        <v>0.089235</v>
      </c>
      <c r="M32" s="65">
        <f>(1-D32)*(1-H32)*(1-p_progression)</f>
        <v>0.6692625000000001</v>
      </c>
      <c r="N32" s="65">
        <f>(1-D32)*(H32*(1-p_cure_early)+(1-H32)*p_progression)</f>
        <v>0.2330025</v>
      </c>
      <c r="O32" s="65">
        <f>D32</f>
        <v>0.0085</v>
      </c>
      <c r="P32" s="65">
        <f>1-Q32</f>
        <v>0.743625</v>
      </c>
      <c r="Q32" s="65">
        <f>1-(1-D32)*(1-p_death_advanced)</f>
        <v>0.256375</v>
      </c>
      <c r="R32" s="67">
        <f>R31*I31+S31*L31</f>
        <v>90436.68927536484</v>
      </c>
      <c r="S32" s="67">
        <f>R31*J31+S31*M31</f>
        <v>277.6441255483912</v>
      </c>
      <c r="T32" s="67">
        <f>S31*N31+T31*P31</f>
        <v>201.33640331234807</v>
      </c>
      <c r="U32" s="67">
        <f>U31+R31*K31+S31*O31+T31*Q31</f>
        <v>9084.330195774499</v>
      </c>
      <c r="V32" s="67">
        <f>R32+S32+T32</f>
        <v>90915.66980422559</v>
      </c>
      <c r="W32" s="67">
        <f>R32*J32</f>
        <v>98.63477515817668</v>
      </c>
      <c r="X32" s="67">
        <f>S32*(1-D32)*H32</f>
        <v>27.52841504812298</v>
      </c>
      <c r="Y32" s="67">
        <f>S32*(1-D32)*(1-H32)*p_progression</f>
        <v>61.93893385827672</v>
      </c>
      <c r="Z32" s="67">
        <f>X32+Y32</f>
        <v>89.4673489063997</v>
      </c>
      <c r="AA32" s="67">
        <f>T32*(1-D32)*p_death_advanced</f>
        <v>49.90626097104828</v>
      </c>
      <c r="AB32" s="67">
        <f>(R32+S32)*G32</f>
        <v>0.0</v>
      </c>
      <c r="AC32" s="67">
        <f>G32*(R32*(1-screen_specificity)+S32*screen_sensitivity)</f>
        <v>0.0</v>
      </c>
      <c r="AD32" s="68">
        <f>AB32*cost_screen_test+AC32*cost_followup_test</f>
        <v>0.0</v>
      </c>
      <c r="AE32" s="68">
        <f>X32*cost_early_treatment</f>
        <v>412926.2257218447</v>
      </c>
      <c r="AF32" s="68">
        <f>T32*cost_advanced_year</f>
        <v>4026728.0662469612</v>
      </c>
      <c r="AG32" s="68">
        <f>AD32+AE32+AF32</f>
        <v>4439654.291968806</v>
      </c>
      <c r="AH32" s="67">
        <f>V32</f>
        <v>90915.66980422559</v>
      </c>
      <c r="AI32" s="67">
        <f>R32*u_healthy+S32*u_early+T32*u_advanced</f>
        <v>81739.75287636628</v>
      </c>
      <c r="AJ32" s="69">
        <f>1/(1+disc_costs)^A32</f>
        <v>0.5066917484296942</v>
      </c>
      <c r="AK32" s="69">
        <f>1/(1+disc_effects)^A32</f>
        <v>0.5066917484296942</v>
      </c>
      <c r="AL32" s="68">
        <f>AG32*AJ32</f>
        <v>2249536.1956210705</v>
      </c>
      <c r="AM32" s="67">
        <f>AI32*AK32</f>
        <v>41416.85830113716</v>
      </c>
      <c r="AN32" s="67">
        <f>AH32*AK32</f>
        <v>46066.21969275982</v>
      </c>
      <c r="AO32" s="64" t="str">
        <f>IF(AND(ABS(V32+U32-cohort_size)&lt;0.000001*cohort_size,MIN(I32:Q32)&gt;=0,MAX(I32:Q32)&lt;=1),"OK","CHECK")</f>
        <v>OK</v>
      </c>
    </row>
    <row r="33">
      <c r="A33" s="63">
        <f>A32+1</f>
        <v>24.0</v>
      </c>
      <c r="B33" s="63">
        <f>start_age+A33</f>
        <v>64.0</v>
      </c>
      <c r="C33" s="64" t="str">
        <f>INDEX(age_band_label,MATCH(B33,age_band_start,1))</f>
        <v>60-64</v>
      </c>
      <c r="D33" s="65">
        <f>INDEX(p_background_death,MATCH(B33,age_band_start,1))</f>
        <v>0.0085</v>
      </c>
      <c r="E33" s="65">
        <f>INDEX(p_cancer_onset,MATCH(B33,age_band_start,1))</f>
        <v>0.0011</v>
      </c>
      <c r="F33" s="63">
        <f>IF(AND($B$3="Yes",B33&gt;=$E$3,B33&lt;=$H$3),1,0)</f>
        <v>0.0</v>
      </c>
      <c r="G33" s="66">
        <f>F33*screen_participation</f>
        <v>0.0</v>
      </c>
      <c r="H33" s="65">
        <f>1-(1-p_detect_symptoms)*(1-G33*screen_sensitivity)</f>
        <v>0.09999999999999998</v>
      </c>
      <c r="I33" s="65">
        <f>1-J33-K33</f>
        <v>0.9904093500000001</v>
      </c>
      <c r="J33" s="65">
        <f>(1-D33)*E33</f>
        <v>0.00109065</v>
      </c>
      <c r="K33" s="65">
        <f>D33</f>
        <v>0.0085</v>
      </c>
      <c r="L33" s="65">
        <f>(1-D33)*H33*p_cure_early</f>
        <v>0.089235</v>
      </c>
      <c r="M33" s="65">
        <f>(1-D33)*(1-H33)*(1-p_progression)</f>
        <v>0.6692625000000001</v>
      </c>
      <c r="N33" s="65">
        <f>(1-D33)*(H33*(1-p_cure_early)+(1-H33)*p_progression)</f>
        <v>0.2330025</v>
      </c>
      <c r="O33" s="65">
        <f>D33</f>
        <v>0.0085</v>
      </c>
      <c r="P33" s="65">
        <f>1-Q33</f>
        <v>0.743625</v>
      </c>
      <c r="Q33" s="65">
        <f>1-(1-D33)*(1-p_death_advanced)</f>
        <v>0.256375</v>
      </c>
      <c r="R33" s="67">
        <f>R32*I32+S32*L32</f>
        <v>89594.1182149094</v>
      </c>
      <c r="S33" s="67">
        <f>R32*J32+S32*M32</f>
        <v>284.45157673300685</v>
      </c>
      <c r="T33" s="67">
        <f>S32*N32+T32*P32</f>
        <v>214.41055827623384</v>
      </c>
      <c r="U33" s="67">
        <f>U32+R32*K32+S32*O32+T32*Q32</f>
        <v>9907.019650081465</v>
      </c>
      <c r="V33" s="67">
        <f>R33+S33+T33</f>
        <v>90092.98034991862</v>
      </c>
      <c r="W33" s="67">
        <f>R33*J33</f>
        <v>97.71582503109094</v>
      </c>
      <c r="X33" s="67">
        <f>S33*(1-D33)*H33</f>
        <v>28.203373833077624</v>
      </c>
      <c r="Y33" s="67">
        <f>S33*(1-D33)*(1-H33)*p_progression</f>
        <v>63.457591124424674</v>
      </c>
      <c r="Z33" s="67">
        <f>X33+Y33</f>
        <v>91.6609649575023</v>
      </c>
      <c r="AA33" s="67">
        <f>T33*(1-D33)*p_death_advanced</f>
        <v>53.147017132721466</v>
      </c>
      <c r="AB33" s="67">
        <f>(R33+S33)*G33</f>
        <v>0.0</v>
      </c>
      <c r="AC33" s="67">
        <f>G33*(R33*(1-screen_specificity)+S33*screen_sensitivity)</f>
        <v>0.0</v>
      </c>
      <c r="AD33" s="68">
        <f>AB33*cost_screen_test+AC33*cost_followup_test</f>
        <v>0.0</v>
      </c>
      <c r="AE33" s="68">
        <f>X33*cost_early_treatment</f>
        <v>423050.60749616433</v>
      </c>
      <c r="AF33" s="68">
        <f>T33*cost_advanced_year</f>
        <v>4288211.165524676</v>
      </c>
      <c r="AG33" s="68">
        <f>AD33+AE33+AF33</f>
        <v>4711261.773020841</v>
      </c>
      <c r="AH33" s="67">
        <f>V33</f>
        <v>90092.98034991862</v>
      </c>
      <c r="AI33" s="67">
        <f>R33*u_healthy+S33*u_early+T33*u_advanced</f>
        <v>80994.41604069344</v>
      </c>
      <c r="AJ33" s="69">
        <f>1/(1+disc_costs)^A33</f>
        <v>0.49193373633950893</v>
      </c>
      <c r="AK33" s="69">
        <f>1/(1+disc_effects)^A33</f>
        <v>0.49193373633950893</v>
      </c>
      <c r="AL33" s="68">
        <f>AG33*AJ33</f>
        <v>2317628.6068756417</v>
      </c>
      <c r="AM33" s="67">
        <f>AI33*AK33</f>
        <v>39843.88570553498</v>
      </c>
      <c r="AN33" s="67">
        <f>AH33*AK33</f>
        <v>44319.77644149743</v>
      </c>
      <c r="AO33" s="64" t="str">
        <f>IF(AND(ABS(V33+U33-cohort_size)&lt;0.000001*cohort_size,MIN(I33:Q33)&gt;=0,MAX(I33:Q33)&lt;=1),"OK","CHECK")</f>
        <v>OK</v>
      </c>
    </row>
    <row r="34">
      <c r="A34" s="63">
        <f>A33+1</f>
        <v>25.0</v>
      </c>
      <c r="B34" s="63">
        <f>start_age+A34</f>
        <v>65.0</v>
      </c>
      <c r="C34" s="64" t="str">
        <f>INDEX(age_band_label,MATCH(B34,age_band_start,1))</f>
        <v>65-69</v>
      </c>
      <c r="D34" s="65">
        <f>INDEX(p_background_death,MATCH(B34,age_band_start,1))</f>
        <v>0.013</v>
      </c>
      <c r="E34" s="65">
        <f>INDEX(p_cancer_onset,MATCH(B34,age_band_start,1))</f>
        <v>0.0015</v>
      </c>
      <c r="F34" s="63">
        <f>IF(AND($B$3="Yes",B34&gt;=$E$3,B34&lt;=$H$3),1,0)</f>
        <v>0.0</v>
      </c>
      <c r="G34" s="66">
        <f>F34*screen_participation</f>
        <v>0.0</v>
      </c>
      <c r="H34" s="65">
        <f>1-(1-p_detect_symptoms)*(1-G34*screen_sensitivity)</f>
        <v>0.09999999999999998</v>
      </c>
      <c r="I34" s="65">
        <f>1-J34-K34</f>
        <v>0.9855195</v>
      </c>
      <c r="J34" s="65">
        <f>(1-D34)*E34</f>
        <v>0.0014805</v>
      </c>
      <c r="K34" s="65">
        <f>D34</f>
        <v>0.013</v>
      </c>
      <c r="L34" s="65">
        <f>(1-D34)*H34*p_cure_early</f>
        <v>0.08882999999999999</v>
      </c>
      <c r="M34" s="65">
        <f>(1-D34)*(1-H34)*(1-p_progression)</f>
        <v>0.666225</v>
      </c>
      <c r="N34" s="65">
        <f>(1-D34)*(H34*(1-p_cure_early)+(1-H34)*p_progression)</f>
        <v>0.23194499999999998</v>
      </c>
      <c r="O34" s="65">
        <f>D34</f>
        <v>0.013</v>
      </c>
      <c r="P34" s="65">
        <f>1-Q34</f>
        <v>0.74025</v>
      </c>
      <c r="Q34" s="65">
        <f>1-(1-D34)*(1-p_death_advanced)</f>
        <v>0.25975000000000004</v>
      </c>
      <c r="R34" s="67">
        <f>R33*I33+S33*L33</f>
        <v>88760.23542150135</v>
      </c>
      <c r="S34" s="67">
        <f>R33*J33+S33*M33</f>
        <v>288.088598404365</v>
      </c>
      <c r="T34" s="67">
        <f>S33*N33+T33*P33</f>
        <v>225.7189799058968</v>
      </c>
      <c r="U34" s="67">
        <f>U33+R33*K33+S33*O33+T33*Q33</f>
        <v>10725.957000188495</v>
      </c>
      <c r="V34" s="67">
        <f>R34+S34+T34</f>
        <v>89274.04299981162</v>
      </c>
      <c r="W34" s="67">
        <f>R34*J34</f>
        <v>131.40952854153275</v>
      </c>
      <c r="X34" s="67">
        <f>S34*(1-D34)*H34</f>
        <v>28.434344662510817</v>
      </c>
      <c r="Y34" s="67">
        <f>S34*(1-D34)*(1-H34)*p_progression</f>
        <v>63.977275490649355</v>
      </c>
      <c r="Z34" s="67">
        <f>X34+Y34</f>
        <v>92.41162015316017</v>
      </c>
      <c r="AA34" s="67">
        <f>T34*(1-D34)*p_death_advanced</f>
        <v>55.69615829178003</v>
      </c>
      <c r="AB34" s="67">
        <f>(R34+S34)*G34</f>
        <v>0.0</v>
      </c>
      <c r="AC34" s="67">
        <f>G34*(R34*(1-screen_specificity)+S34*screen_sensitivity)</f>
        <v>0.0</v>
      </c>
      <c r="AD34" s="68">
        <f>AB34*cost_screen_test+AC34*cost_followup_test</f>
        <v>0.0</v>
      </c>
      <c r="AE34" s="68">
        <f>X34*cost_early_treatment</f>
        <v>426515.16993766226</v>
      </c>
      <c r="AF34" s="68">
        <f>T34*cost_advanced_year</f>
        <v>4514379.5981179355</v>
      </c>
      <c r="AG34" s="68">
        <f>AD34+AE34+AF34</f>
        <v>4940894.768055597</v>
      </c>
      <c r="AH34" s="67">
        <f>V34</f>
        <v>89274.04299981162</v>
      </c>
      <c r="AI34" s="67">
        <f>R34*u_healthy+S34*u_early+T34*u_advanced</f>
        <v>80253.23262694317</v>
      </c>
      <c r="AJ34" s="69">
        <f>1/(1+disc_costs)^A34</f>
        <v>0.47760556926165915</v>
      </c>
      <c r="AK34" s="69">
        <f>1/(1+disc_effects)^A34</f>
        <v>0.47760556926165915</v>
      </c>
      <c r="AL34" s="68">
        <f>AG34*AJ34</f>
        <v>2359798.858359147</v>
      </c>
      <c r="AM34" s="67">
        <f>AI34*AK34</f>
        <v>38329.390853879544</v>
      </c>
      <c r="AN34" s="67">
        <f>AH34*AK34</f>
        <v>42637.780127214864</v>
      </c>
      <c r="AO34" s="64" t="str">
        <f>IF(AND(ABS(V34+U34-cohort_size)&lt;0.000001*cohort_size,MIN(I34:Q34)&gt;=0,MAX(I34:Q34)&lt;=1),"OK","CHECK")</f>
        <v>OK</v>
      </c>
    </row>
    <row r="35">
      <c r="A35" s="63">
        <f>A34+1</f>
        <v>26.0</v>
      </c>
      <c r="B35" s="63">
        <f>start_age+A35</f>
        <v>66.0</v>
      </c>
      <c r="C35" s="64" t="str">
        <f>INDEX(age_band_label,MATCH(B35,age_band_start,1))</f>
        <v>65-69</v>
      </c>
      <c r="D35" s="65">
        <f>INDEX(p_background_death,MATCH(B35,age_band_start,1))</f>
        <v>0.013</v>
      </c>
      <c r="E35" s="65">
        <f>INDEX(p_cancer_onset,MATCH(B35,age_band_start,1))</f>
        <v>0.0015</v>
      </c>
      <c r="F35" s="63">
        <f>IF(AND($B$3="Yes",B35&gt;=$E$3,B35&lt;=$H$3),1,0)</f>
        <v>0.0</v>
      </c>
      <c r="G35" s="66">
        <f>F35*screen_participation</f>
        <v>0.0</v>
      </c>
      <c r="H35" s="65">
        <f>1-(1-p_detect_symptoms)*(1-G35*screen_sensitivity)</f>
        <v>0.09999999999999998</v>
      </c>
      <c r="I35" s="65">
        <f>1-J35-K35</f>
        <v>0.9855195</v>
      </c>
      <c r="J35" s="65">
        <f>(1-D35)*E35</f>
        <v>0.0014805</v>
      </c>
      <c r="K35" s="65">
        <f>D35</f>
        <v>0.013</v>
      </c>
      <c r="L35" s="65">
        <f>(1-D35)*H35*p_cure_early</f>
        <v>0.08882999999999999</v>
      </c>
      <c r="M35" s="65">
        <f>(1-D35)*(1-H35)*(1-p_progression)</f>
        <v>0.666225</v>
      </c>
      <c r="N35" s="65">
        <f>(1-D35)*(H35*(1-p_cure_early)+(1-H35)*p_progression)</f>
        <v>0.23194499999999998</v>
      </c>
      <c r="O35" s="65">
        <f>D35</f>
        <v>0.013</v>
      </c>
      <c r="P35" s="65">
        <f>1-Q35</f>
        <v>0.74025</v>
      </c>
      <c r="Q35" s="65">
        <f>1-(1-D35)*(1-p_death_advanced)</f>
        <v>0.25975000000000004</v>
      </c>
      <c r="R35" s="67">
        <f>R34*I34+S34*L34</f>
        <v>87500.53374267656</v>
      </c>
      <c r="S35" s="67">
        <f>R34*J34+S34*M34</f>
        <v>323.3413550134808</v>
      </c>
      <c r="T35" s="67">
        <f>S34*N34+T34*P34</f>
        <v>233.90918483224053</v>
      </c>
      <c r="U35" s="67">
        <f>U34+R34*K34+S34*O34+T34*Q34</f>
        <v>11942.215717477824</v>
      </c>
      <c r="V35" s="67">
        <f>R35+S35+T35</f>
        <v>88057.78428252229</v>
      </c>
      <c r="W35" s="67">
        <f>R35*J35</f>
        <v>129.54454020603265</v>
      </c>
      <c r="X35" s="67">
        <f>S35*(1-D35)*H35</f>
        <v>31.913791739830547</v>
      </c>
      <c r="Y35" s="67">
        <f>S35*(1-D35)*(1-H35)*p_progression</f>
        <v>71.80603141461874</v>
      </c>
      <c r="Z35" s="67">
        <f>X35+Y35</f>
        <v>103.71982315444929</v>
      </c>
      <c r="AA35" s="67">
        <f>T35*(1-D35)*p_death_advanced</f>
        <v>57.71709135735535</v>
      </c>
      <c r="AB35" s="67">
        <f>(R35+S35)*G35</f>
        <v>0.0</v>
      </c>
      <c r="AC35" s="67">
        <f>G35*(R35*(1-screen_specificity)+S35*screen_sensitivity)</f>
        <v>0.0</v>
      </c>
      <c r="AD35" s="68">
        <f>AB35*cost_screen_test+AC35*cost_followup_test</f>
        <v>0.0</v>
      </c>
      <c r="AE35" s="68">
        <f>X35*cost_early_treatment</f>
        <v>478706.8760974582</v>
      </c>
      <c r="AF35" s="68">
        <f>T35*cost_advanced_year</f>
        <v>4678183.696644811</v>
      </c>
      <c r="AG35" s="68">
        <f>AD35+AE35+AF35</f>
        <v>5156890.572742269</v>
      </c>
      <c r="AH35" s="67">
        <f>V35</f>
        <v>88057.78428252229</v>
      </c>
      <c r="AI35" s="67">
        <f>R35*u_healthy+S35*u_early+T35*u_advanced</f>
        <v>79153.9705718281</v>
      </c>
      <c r="AJ35" s="69">
        <f>1/(1+disc_costs)^A35</f>
        <v>0.463694727438504</v>
      </c>
      <c r="AK35" s="69">
        <f>1/(1+disc_effects)^A35</f>
        <v>0.463694727438504</v>
      </c>
      <c r="AL35" s="68">
        <f>AG35*AJ35</f>
        <v>2391222.9685579175</v>
      </c>
      <c r="AM35" s="67">
        <f>AI35*AK35</f>
        <v>36703.2788099792</v>
      </c>
      <c r="AN35" s="67">
        <f>AH35*AK35</f>
        <v>40831.93028172275</v>
      </c>
      <c r="AO35" s="64" t="str">
        <f>IF(AND(ABS(V35+U35-cohort_size)&lt;0.000001*cohort_size,MIN(I35:Q35)&gt;=0,MAX(I35:Q35)&lt;=1),"OK","CHECK")</f>
        <v>OK</v>
      </c>
    </row>
    <row r="36">
      <c r="A36" s="63">
        <f>A35+1</f>
        <v>27.0</v>
      </c>
      <c r="B36" s="63">
        <f>start_age+A36</f>
        <v>67.0</v>
      </c>
      <c r="C36" s="64" t="str">
        <f>INDEX(age_band_label,MATCH(B36,age_band_start,1))</f>
        <v>65-69</v>
      </c>
      <c r="D36" s="65">
        <f>INDEX(p_background_death,MATCH(B36,age_band_start,1))</f>
        <v>0.013</v>
      </c>
      <c r="E36" s="65">
        <f>INDEX(p_cancer_onset,MATCH(B36,age_band_start,1))</f>
        <v>0.0015</v>
      </c>
      <c r="F36" s="63">
        <f>IF(AND($B$3="Yes",B36&gt;=$E$3,B36&lt;=$H$3),1,0)</f>
        <v>0.0</v>
      </c>
      <c r="G36" s="66">
        <f>F36*screen_participation</f>
        <v>0.0</v>
      </c>
      <c r="H36" s="65">
        <f>1-(1-p_detect_symptoms)*(1-G36*screen_sensitivity)</f>
        <v>0.09999999999999998</v>
      </c>
      <c r="I36" s="65">
        <f>1-J36-K36</f>
        <v>0.9855195</v>
      </c>
      <c r="J36" s="65">
        <f>(1-D36)*E36</f>
        <v>0.0014805</v>
      </c>
      <c r="K36" s="65">
        <f>D36</f>
        <v>0.013</v>
      </c>
      <c r="L36" s="65">
        <f>(1-D36)*H36*p_cure_early</f>
        <v>0.08882999999999999</v>
      </c>
      <c r="M36" s="65">
        <f>(1-D36)*(1-H36)*(1-p_progression)</f>
        <v>0.666225</v>
      </c>
      <c r="N36" s="65">
        <f>(1-D36)*(H36*(1-p_cure_early)+(1-H36)*p_progression)</f>
        <v>0.23194499999999998</v>
      </c>
      <c r="O36" s="65">
        <f>D36</f>
        <v>0.013</v>
      </c>
      <c r="P36" s="65">
        <f>1-Q36</f>
        <v>0.74025</v>
      </c>
      <c r="Q36" s="65">
        <f>1-(1-D36)*(1-p_death_advanced)</f>
        <v>0.25975000000000004</v>
      </c>
      <c r="R36" s="67">
        <f>R35*I35+S35*L35</f>
        <v>86262.20467638159</v>
      </c>
      <c r="S36" s="67">
        <f>R35*J35+S35*M35</f>
        <v>344.96263444988887</v>
      </c>
      <c r="T36" s="67">
        <f>S35*N35+T35*P35</f>
        <v>248.1486846606678</v>
      </c>
      <c r="U36" s="67">
        <f>U35+R35*K35+S35*O35+T35*Q35</f>
        <v>13144.684004507968</v>
      </c>
      <c r="V36" s="67">
        <f>R36+S36+T36</f>
        <v>86855.31599549214</v>
      </c>
      <c r="W36" s="67">
        <f>R36*J36</f>
        <v>127.71119402338294</v>
      </c>
      <c r="X36" s="67">
        <f>S36*(1-D36)*H36</f>
        <v>34.04781202020403</v>
      </c>
      <c r="Y36" s="67">
        <f>S36*(1-D36)*(1-H36)*p_progression</f>
        <v>76.60757704545907</v>
      </c>
      <c r="Z36" s="67">
        <f>X36+Y36</f>
        <v>110.65538906566309</v>
      </c>
      <c r="AA36" s="67">
        <f>T36*(1-D36)*p_death_advanced</f>
        <v>61.230687940019784</v>
      </c>
      <c r="AB36" s="67">
        <f>(R36+S36)*G36</f>
        <v>0.0</v>
      </c>
      <c r="AC36" s="67">
        <f>G36*(R36*(1-screen_specificity)+S36*screen_sensitivity)</f>
        <v>0.0</v>
      </c>
      <c r="AD36" s="68">
        <f>AB36*cost_screen_test+AC36*cost_followup_test</f>
        <v>0.0</v>
      </c>
      <c r="AE36" s="68">
        <f>X36*cost_early_treatment</f>
        <v>510717.1803030604</v>
      </c>
      <c r="AF36" s="68">
        <f>T36*cost_advanced_year</f>
        <v>4962973.693213357</v>
      </c>
      <c r="AG36" s="68">
        <f>AD36+AE36+AF36</f>
        <v>5473690.873516417</v>
      </c>
      <c r="AH36" s="67">
        <f>V36</f>
        <v>86855.31599549214</v>
      </c>
      <c r="AI36" s="67">
        <f>R36*u_healthy+S36*u_early+T36*u_advanced</f>
        <v>78065.6842245892</v>
      </c>
      <c r="AJ36" s="69">
        <f>1/(1+disc_costs)^A36</f>
        <v>0.4501890557655378</v>
      </c>
      <c r="AK36" s="69">
        <f>1/(1+disc_effects)^A36</f>
        <v>0.4501890557655378</v>
      </c>
      <c r="AL36" s="68">
        <f>AG36*AJ36</f>
        <v>2464195.7259007976</v>
      </c>
      <c r="AM36" s="67">
        <f>AI36*AK36</f>
        <v>35144.31666875845</v>
      </c>
      <c r="AN36" s="67">
        <f>AH36*AK36</f>
        <v>39101.31269622802</v>
      </c>
      <c r="AO36" s="64" t="str">
        <f>IF(AND(ABS(V36+U36-cohort_size)&lt;0.000001*cohort_size,MIN(I36:Q36)&gt;=0,MAX(I36:Q36)&lt;=1),"OK","CHECK")</f>
        <v>OK</v>
      </c>
    </row>
    <row r="37">
      <c r="A37" s="63">
        <f>A36+1</f>
        <v>28.0</v>
      </c>
      <c r="B37" s="63">
        <f>start_age+A37</f>
        <v>68.0</v>
      </c>
      <c r="C37" s="64" t="str">
        <f>INDEX(age_band_label,MATCH(B37,age_band_start,1))</f>
        <v>65-69</v>
      </c>
      <c r="D37" s="65">
        <f>INDEX(p_background_death,MATCH(B37,age_band_start,1))</f>
        <v>0.013</v>
      </c>
      <c r="E37" s="65">
        <f>INDEX(p_cancer_onset,MATCH(B37,age_band_start,1))</f>
        <v>0.0015</v>
      </c>
      <c r="F37" s="63">
        <f>IF(AND($B$3="Yes",B37&gt;=$E$3,B37&lt;=$H$3),1,0)</f>
        <v>0.0</v>
      </c>
      <c r="G37" s="66">
        <f>F37*screen_participation</f>
        <v>0.0</v>
      </c>
      <c r="H37" s="65">
        <f>1-(1-p_detect_symptoms)*(1-G37*screen_sensitivity)</f>
        <v>0.09999999999999998</v>
      </c>
      <c r="I37" s="65">
        <f>1-J37-K37</f>
        <v>0.9855195</v>
      </c>
      <c r="J37" s="65">
        <f>(1-D37)*E37</f>
        <v>0.0014805</v>
      </c>
      <c r="K37" s="65">
        <f>D37</f>
        <v>0.013</v>
      </c>
      <c r="L37" s="65">
        <f>(1-D37)*H37*p_cure_early</f>
        <v>0.08882999999999999</v>
      </c>
      <c r="M37" s="65">
        <f>(1-D37)*(1-H37)*(1-p_progression)</f>
        <v>0.666225</v>
      </c>
      <c r="N37" s="65">
        <f>(1-D37)*(H37*(1-p_cure_early)+(1-H37)*p_progression)</f>
        <v>0.23194499999999998</v>
      </c>
      <c r="O37" s="65">
        <f>D37</f>
        <v>0.013</v>
      </c>
      <c r="P37" s="65">
        <f>1-Q37</f>
        <v>0.74025</v>
      </c>
      <c r="Q37" s="65">
        <f>1-(1-D37)*(1-p_death_advanced)</f>
        <v>0.25975000000000004</v>
      </c>
      <c r="R37" s="67">
        <f>R36*I36+S36*L36</f>
        <v>85043.72785238344</v>
      </c>
      <c r="S37" s="67">
        <f>R36*J36+S36*M36</f>
        <v>357.53392515976014</v>
      </c>
      <c r="T37" s="67">
        <f>S36*N36+T36*P36</f>
        <v>263.7044220675388</v>
      </c>
      <c r="U37" s="67">
        <f>U36+R36*K36+S36*O36+T36*Q36</f>
        <v>14335.033800389385</v>
      </c>
      <c r="V37" s="67">
        <f>R37+S37+T37</f>
        <v>85664.96619961075</v>
      </c>
      <c r="W37" s="67">
        <f>R37*J37</f>
        <v>125.90723908545368</v>
      </c>
      <c r="X37" s="67">
        <f>S37*(1-D37)*H37</f>
        <v>35.28859841326832</v>
      </c>
      <c r="Y37" s="67">
        <f>S37*(1-D37)*(1-H37)*p_progression</f>
        <v>79.39934642985374</v>
      </c>
      <c r="Z37" s="67">
        <f>X37+Y37</f>
        <v>114.68794484312205</v>
      </c>
      <c r="AA37" s="67">
        <f>T37*(1-D37)*p_death_advanced</f>
        <v>65.0690661451652</v>
      </c>
      <c r="AB37" s="67">
        <f>(R37+S37)*G37</f>
        <v>0.0</v>
      </c>
      <c r="AC37" s="67">
        <f>G37*(R37*(1-screen_specificity)+S37*screen_sensitivity)</f>
        <v>0.0</v>
      </c>
      <c r="AD37" s="68">
        <f>AB37*cost_screen_test+AC37*cost_followup_test</f>
        <v>0.0</v>
      </c>
      <c r="AE37" s="68">
        <f>X37*cost_early_treatment</f>
        <v>529328.9761990248</v>
      </c>
      <c r="AF37" s="68">
        <f>T37*cost_advanced_year</f>
        <v>5274088.441350777</v>
      </c>
      <c r="AG37" s="68">
        <f>AD37+AE37+AF37</f>
        <v>5803417.417549802</v>
      </c>
      <c r="AH37" s="67">
        <f>V37</f>
        <v>85664.96619961075</v>
      </c>
      <c r="AI37" s="67">
        <f>R37*u_healthy+S37*u_early+T37*u_advanced</f>
        <v>76988.29633566804</v>
      </c>
      <c r="AJ37" s="69">
        <f>1/(1+disc_costs)^A37</f>
        <v>0.4370767531704251</v>
      </c>
      <c r="AK37" s="69">
        <f>1/(1+disc_effects)^A37</f>
        <v>0.4370767531704251</v>
      </c>
      <c r="AL37" s="68">
        <f>AG37*AJ37</f>
        <v>2536538.8421553606</v>
      </c>
      <c r="AM37" s="67">
        <f>AI37*AK37</f>
        <v>33649.79459451632</v>
      </c>
      <c r="AN37" s="67">
        <f>AH37*AK37</f>
        <v>37442.165286980075</v>
      </c>
      <c r="AO37" s="64" t="str">
        <f>IF(AND(ABS(V37+U37-cohort_size)&lt;0.000001*cohort_size,MIN(I37:Q37)&gt;=0,MAX(I37:Q37)&lt;=1),"OK","CHECK")</f>
        <v>OK</v>
      </c>
    </row>
    <row r="38">
      <c r="A38" s="63">
        <f>A37+1</f>
        <v>29.0</v>
      </c>
      <c r="B38" s="63">
        <f>start_age+A38</f>
        <v>69.0</v>
      </c>
      <c r="C38" s="64" t="str">
        <f>INDEX(age_band_label,MATCH(B38,age_band_start,1))</f>
        <v>65-69</v>
      </c>
      <c r="D38" s="65">
        <f>INDEX(p_background_death,MATCH(B38,age_band_start,1))</f>
        <v>0.013</v>
      </c>
      <c r="E38" s="65">
        <f>INDEX(p_cancer_onset,MATCH(B38,age_band_start,1))</f>
        <v>0.0015</v>
      </c>
      <c r="F38" s="63">
        <f>IF(AND($B$3="Yes",B38&gt;=$E$3,B38&lt;=$H$3),1,0)</f>
        <v>0.0</v>
      </c>
      <c r="G38" s="66">
        <f>F38*screen_participation</f>
        <v>0.0</v>
      </c>
      <c r="H38" s="65">
        <f>1-(1-p_detect_symptoms)*(1-G38*screen_sensitivity)</f>
        <v>0.09999999999999998</v>
      </c>
      <c r="I38" s="65">
        <f>1-J38-K38</f>
        <v>0.9855195</v>
      </c>
      <c r="J38" s="65">
        <f>(1-D38)*E38</f>
        <v>0.0014805</v>
      </c>
      <c r="K38" s="65">
        <f>D38</f>
        <v>0.013</v>
      </c>
      <c r="L38" s="65">
        <f>(1-D38)*H38*p_cure_early</f>
        <v>0.08882999999999999</v>
      </c>
      <c r="M38" s="65">
        <f>(1-D38)*(1-H38)*(1-p_progression)</f>
        <v>0.666225</v>
      </c>
      <c r="N38" s="65">
        <f>(1-D38)*(H38*(1-p_cure_early)+(1-H38)*p_progression)</f>
        <v>0.23194499999999998</v>
      </c>
      <c r="O38" s="65">
        <f>D38</f>
        <v>0.013</v>
      </c>
      <c r="P38" s="65">
        <f>1-Q38</f>
        <v>0.74025</v>
      </c>
      <c r="Q38" s="65">
        <f>1-(1-D38)*(1-p_death_advanced)</f>
        <v>0.25975000000000004</v>
      </c>
      <c r="R38" s="67">
        <f>R37*I37+S37*L37</f>
        <v>83844.01188978895</v>
      </c>
      <c r="S38" s="67">
        <f>R37*J37+S37*M37</f>
        <v>364.1052783750149</v>
      </c>
      <c r="T38" s="67">
        <f>S37*N37+T37*P37</f>
        <v>278.1354047066761</v>
      </c>
      <c r="U38" s="67">
        <f>U37+R37*K37+S37*O37+T37*Q37</f>
        <v>15513.747427129489</v>
      </c>
      <c r="V38" s="67">
        <f>R38+S38+T38</f>
        <v>84486.25257287064</v>
      </c>
      <c r="W38" s="67">
        <f>R38*J38</f>
        <v>124.13105960283254</v>
      </c>
      <c r="X38" s="67">
        <f>S38*(1-D38)*H38</f>
        <v>35.93719097561396</v>
      </c>
      <c r="Y38" s="67">
        <f>S38*(1-D38)*(1-H38)*p_progression</f>
        <v>80.85867969513143</v>
      </c>
      <c r="Z38" s="67">
        <f>X38+Y38</f>
        <v>116.79587067074539</v>
      </c>
      <c r="AA38" s="67">
        <f>T38*(1-D38)*p_death_advanced</f>
        <v>68.62991111137234</v>
      </c>
      <c r="AB38" s="67">
        <f>(R38+S38)*G38</f>
        <v>0.0</v>
      </c>
      <c r="AC38" s="67">
        <f>G38*(R38*(1-screen_specificity)+S38*screen_sensitivity)</f>
        <v>0.0</v>
      </c>
      <c r="AD38" s="68">
        <f>AB38*cost_screen_test+AC38*cost_followup_test</f>
        <v>0.0</v>
      </c>
      <c r="AE38" s="68">
        <f>X38*cost_early_treatment</f>
        <v>539057.8646342094</v>
      </c>
      <c r="AF38" s="68">
        <f>T38*cost_advanced_year</f>
        <v>5562708.094133522</v>
      </c>
      <c r="AG38" s="68">
        <f>AD38+AE38+AF38</f>
        <v>6101765.958767732</v>
      </c>
      <c r="AH38" s="67">
        <f>V38</f>
        <v>84486.25257287064</v>
      </c>
      <c r="AI38" s="67">
        <f>R38*u_healthy+S38*u_early+T38*u_advanced</f>
        <v>75922.07466001749</v>
      </c>
      <c r="AJ38" s="69">
        <f>1/(1+disc_costs)^A38</f>
        <v>0.42434636230138356</v>
      </c>
      <c r="AK38" s="69">
        <f>1/(1+disc_effects)^A38</f>
        <v>0.42434636230138356</v>
      </c>
      <c r="AL38" s="68">
        <f>AG38*AJ38</f>
        <v>2589262.1882175007</v>
      </c>
      <c r="AM38" s="67">
        <f>AI38*AK38</f>
        <v>32217.256200352473</v>
      </c>
      <c r="AN38" s="67">
        <f>AH38*AK38</f>
        <v>35851.43394377356</v>
      </c>
      <c r="AO38" s="64" t="str">
        <f>IF(AND(ABS(V38+U38-cohort_size)&lt;0.000001*cohort_size,MIN(I38:Q38)&gt;=0,MAX(I38:Q38)&lt;=1),"OK","CHECK")</f>
        <v>OK</v>
      </c>
    </row>
    <row r="39">
      <c r="A39" s="63">
        <f>A38+1</f>
        <v>30.0</v>
      </c>
      <c r="B39" s="63">
        <f>start_age+A39</f>
        <v>70.0</v>
      </c>
      <c r="C39" s="64" t="str">
        <f>INDEX(age_band_label,MATCH(B39,age_band_start,1))</f>
        <v>70-74</v>
      </c>
      <c r="D39" s="65">
        <f>INDEX(p_background_death,MATCH(B39,age_band_start,1))</f>
        <v>0.021</v>
      </c>
      <c r="E39" s="65">
        <f>INDEX(p_cancer_onset,MATCH(B39,age_band_start,1))</f>
        <v>0.0018</v>
      </c>
      <c r="F39" s="63">
        <f>IF(AND($B$3="Yes",B39&gt;=$E$3,B39&lt;=$H$3),1,0)</f>
        <v>0.0</v>
      </c>
      <c r="G39" s="66">
        <f>F39*screen_participation</f>
        <v>0.0</v>
      </c>
      <c r="H39" s="65">
        <f>1-(1-p_detect_symptoms)*(1-G39*screen_sensitivity)</f>
        <v>0.09999999999999998</v>
      </c>
      <c r="I39" s="65">
        <f>1-J39-K39</f>
        <v>0.9772377999999999</v>
      </c>
      <c r="J39" s="65">
        <f>(1-D39)*E39</f>
        <v>0.0017622</v>
      </c>
      <c r="K39" s="65">
        <f>D39</f>
        <v>0.021</v>
      </c>
      <c r="L39" s="65">
        <f>(1-D39)*H39*p_cure_early</f>
        <v>0.08810999999999998</v>
      </c>
      <c r="M39" s="65">
        <f>(1-D39)*(1-H39)*(1-p_progression)</f>
        <v>0.660825</v>
      </c>
      <c r="N39" s="65">
        <f>(1-D39)*(H39*(1-p_cure_early)+(1-H39)*p_progression)</f>
        <v>0.230065</v>
      </c>
      <c r="O39" s="65">
        <f>D39</f>
        <v>0.021</v>
      </c>
      <c r="P39" s="65">
        <f>1-Q39</f>
        <v>0.73425</v>
      </c>
      <c r="Q39" s="65">
        <f>1-(1-D39)*(1-p_death_advanced)</f>
        <v>0.26575000000000004</v>
      </c>
      <c r="R39" s="67">
        <f>R38*I38+S38*L38</f>
        <v>82662.25214749691</v>
      </c>
      <c r="S39" s="67">
        <f>R38*J38+S38*M38</f>
        <v>366.70709868822684</v>
      </c>
      <c r="T39" s="67">
        <f>S38*N38+T38*P38</f>
        <v>290.3421321268098</v>
      </c>
      <c r="U39" s="67">
        <f>U38+R38*K38+S38*O38+T38*Q38</f>
        <v>16680.698621688178</v>
      </c>
      <c r="V39" s="67">
        <f>R39+S39+T39</f>
        <v>83319.30137831195</v>
      </c>
      <c r="W39" s="67">
        <f>R39*J39</f>
        <v>145.66742073431905</v>
      </c>
      <c r="X39" s="67">
        <f>S39*(1-D39)*H39</f>
        <v>35.90062496157739</v>
      </c>
      <c r="Y39" s="67">
        <f>S39*(1-D39)*(1-H39)*p_progression</f>
        <v>80.77640616354915</v>
      </c>
      <c r="Z39" s="67">
        <f>X39+Y39</f>
        <v>116.67703112512655</v>
      </c>
      <c r="AA39" s="67">
        <f>T39*(1-D39)*p_death_advanced</f>
        <v>71.0612368380367</v>
      </c>
      <c r="AB39" s="67">
        <f>(R39+S39)*G39</f>
        <v>0.0</v>
      </c>
      <c r="AC39" s="67">
        <f>G39*(R39*(1-screen_specificity)+S39*screen_sensitivity)</f>
        <v>0.0</v>
      </c>
      <c r="AD39" s="68">
        <f>AB39*cost_screen_test+AC39*cost_followup_test</f>
        <v>0.0</v>
      </c>
      <c r="AE39" s="68">
        <f>X39*cost_early_treatment</f>
        <v>538509.3744236609</v>
      </c>
      <c r="AF39" s="68">
        <f>T39*cost_advanced_year</f>
        <v>5806842.642536196</v>
      </c>
      <c r="AG39" s="68">
        <f>AD39+AE39+AF39</f>
        <v>6345352.016959857</v>
      </c>
      <c r="AH39" s="67">
        <f>V39</f>
        <v>83319.30137831195</v>
      </c>
      <c r="AI39" s="67">
        <f>R39*u_healthy+S39*u_early+T39*u_advanced</f>
        <v>74867.41613930196</v>
      </c>
      <c r="AJ39" s="69">
        <f>1/(1+disc_costs)^A39</f>
        <v>0.41198675951590635</v>
      </c>
      <c r="AK39" s="69">
        <f>1/(1+disc_effects)^A39</f>
        <v>0.41198675951590635</v>
      </c>
      <c r="AL39" s="68">
        <f>AG39*AJ39</f>
        <v>2614201.015455012</v>
      </c>
      <c r="AM39" s="67">
        <f>AI39*AK39</f>
        <v>30844.38416855988</v>
      </c>
      <c r="AN39" s="67">
        <f>AH39*AK39</f>
        <v>34326.448979979934</v>
      </c>
      <c r="AO39" s="64" t="str">
        <f>IF(AND(ABS(V39+U39-cohort_size)&lt;0.000001*cohort_size,MIN(I39:Q39)&gt;=0,MAX(I39:Q39)&lt;=1),"OK","CHECK")</f>
        <v>OK</v>
      </c>
    </row>
    <row r="40">
      <c r="A40" s="63">
        <f>A39+1</f>
        <v>31.0</v>
      </c>
      <c r="B40" s="63">
        <f>start_age+A40</f>
        <v>71.0</v>
      </c>
      <c r="C40" s="64" t="str">
        <f>INDEX(age_band_label,MATCH(B40,age_band_start,1))</f>
        <v>70-74</v>
      </c>
      <c r="D40" s="65">
        <f>INDEX(p_background_death,MATCH(B40,age_band_start,1))</f>
        <v>0.021</v>
      </c>
      <c r="E40" s="65">
        <f>INDEX(p_cancer_onset,MATCH(B40,age_band_start,1))</f>
        <v>0.0018</v>
      </c>
      <c r="F40" s="63">
        <f>IF(AND($B$3="Yes",B40&gt;=$E$3,B40&lt;=$H$3),1,0)</f>
        <v>0.0</v>
      </c>
      <c r="G40" s="66">
        <f>F40*screen_participation</f>
        <v>0.0</v>
      </c>
      <c r="H40" s="65">
        <f>1-(1-p_detect_symptoms)*(1-G40*screen_sensitivity)</f>
        <v>0.09999999999999998</v>
      </c>
      <c r="I40" s="65">
        <f>1-J40-K40</f>
        <v>0.9772377999999999</v>
      </c>
      <c r="J40" s="65">
        <f>(1-D40)*E40</f>
        <v>0.0017622</v>
      </c>
      <c r="K40" s="65">
        <f>D40</f>
        <v>0.021</v>
      </c>
      <c r="L40" s="65">
        <f>(1-D40)*H40*p_cure_early</f>
        <v>0.08810999999999998</v>
      </c>
      <c r="M40" s="65">
        <f>(1-D40)*(1-H40)*(1-p_progression)</f>
        <v>0.660825</v>
      </c>
      <c r="N40" s="65">
        <f>(1-D40)*(H40*(1-p_cure_early)+(1-H40)*p_progression)</f>
        <v>0.230065</v>
      </c>
      <c r="O40" s="65">
        <f>D40</f>
        <v>0.021</v>
      </c>
      <c r="P40" s="65">
        <f>1-Q40</f>
        <v>0.73425</v>
      </c>
      <c r="Q40" s="65">
        <f>1-(1-D40)*(1-p_death_advanced)</f>
        <v>0.26575000000000004</v>
      </c>
      <c r="R40" s="67">
        <f>R39*I39+S39*L39</f>
        <v>80812.98799413057</v>
      </c>
      <c r="S40" s="67">
        <f>R39*J39+S39*M39</f>
        <v>387.99663922496654</v>
      </c>
      <c r="T40" s="67">
        <f>S39*N39+T39*P39</f>
        <v>297.550179173817</v>
      </c>
      <c r="U40" s="67">
        <f>U39+R39*K39+S39*O39+T39*Q39</f>
        <v>18501.465187470767</v>
      </c>
      <c r="V40" s="67">
        <f>R40+S40+T40</f>
        <v>81498.53481252935</v>
      </c>
      <c r="W40" s="67">
        <f>R40*J40</f>
        <v>142.40864744325688</v>
      </c>
      <c r="X40" s="67">
        <f>S40*(1-D40)*H40</f>
        <v>37.984870980124214</v>
      </c>
      <c r="Y40" s="67">
        <f>S40*(1-D40)*(1-H40)*p_progression</f>
        <v>85.4659597052795</v>
      </c>
      <c r="Z40" s="67">
        <f>X40+Y40</f>
        <v>123.45083068540372</v>
      </c>
      <c r="AA40" s="67">
        <f>T40*(1-D40)*p_death_advanced</f>
        <v>72.82540635279172</v>
      </c>
      <c r="AB40" s="67">
        <f>(R40+S40)*G40</f>
        <v>0.0</v>
      </c>
      <c r="AC40" s="67">
        <f>G40*(R40*(1-screen_specificity)+S40*screen_sensitivity)</f>
        <v>0.0</v>
      </c>
      <c r="AD40" s="68">
        <f>AB40*cost_screen_test+AC40*cost_followup_test</f>
        <v>0.0</v>
      </c>
      <c r="AE40" s="68">
        <f>X40*cost_early_treatment</f>
        <v>569773.0647018632</v>
      </c>
      <c r="AF40" s="68">
        <f>T40*cost_advanced_year</f>
        <v>5951003.58347634</v>
      </c>
      <c r="AG40" s="68">
        <f>AD40+AE40+AF40</f>
        <v>6520776.648178204</v>
      </c>
      <c r="AH40" s="67">
        <f>V40</f>
        <v>81498.53481252935</v>
      </c>
      <c r="AI40" s="67">
        <f>R40*u_healthy+S40*u_early+T40*u_advanced</f>
        <v>73225.13893660433</v>
      </c>
      <c r="AJ40" s="69">
        <f>1/(1+disc_costs)^A40</f>
        <v>0.3999871451610742</v>
      </c>
      <c r="AK40" s="69">
        <f>1/(1+disc_effects)^A40</f>
        <v>0.3999871451610742</v>
      </c>
      <c r="AL40" s="68">
        <f>AG40*AJ40</f>
        <v>2608226.835737798</v>
      </c>
      <c r="AM40" s="67">
        <f>AI40*AK40</f>
        <v>29289.11427727538</v>
      </c>
      <c r="AN40" s="67">
        <f>AH40*AK40</f>
        <v>32598.366274474036</v>
      </c>
      <c r="AO40" s="64" t="str">
        <f>IF(AND(ABS(V40+U40-cohort_size)&lt;0.000001*cohort_size,MIN(I40:Q40)&gt;=0,MAX(I40:Q40)&lt;=1),"OK","CHECK")</f>
        <v>OK</v>
      </c>
    </row>
    <row r="41">
      <c r="A41" s="63">
        <f>A40+1</f>
        <v>32.0</v>
      </c>
      <c r="B41" s="63">
        <f>start_age+A41</f>
        <v>72.0</v>
      </c>
      <c r="C41" s="64" t="str">
        <f>INDEX(age_band_label,MATCH(B41,age_band_start,1))</f>
        <v>70-74</v>
      </c>
      <c r="D41" s="65">
        <f>INDEX(p_background_death,MATCH(B41,age_band_start,1))</f>
        <v>0.021</v>
      </c>
      <c r="E41" s="65">
        <f>INDEX(p_cancer_onset,MATCH(B41,age_band_start,1))</f>
        <v>0.0018</v>
      </c>
      <c r="F41" s="63">
        <f>IF(AND($B$3="Yes",B41&gt;=$E$3,B41&lt;=$H$3),1,0)</f>
        <v>0.0</v>
      </c>
      <c r="G41" s="66">
        <f>F41*screen_participation</f>
        <v>0.0</v>
      </c>
      <c r="H41" s="65">
        <f>1-(1-p_detect_symptoms)*(1-G41*screen_sensitivity)</f>
        <v>0.09999999999999998</v>
      </c>
      <c r="I41" s="65">
        <f>1-J41-K41</f>
        <v>0.9772377999999999</v>
      </c>
      <c r="J41" s="65">
        <f>(1-D41)*E41</f>
        <v>0.0017622</v>
      </c>
      <c r="K41" s="65">
        <f>D41</f>
        <v>0.021</v>
      </c>
      <c r="L41" s="65">
        <f>(1-D41)*H41*p_cure_early</f>
        <v>0.08810999999999998</v>
      </c>
      <c r="M41" s="65">
        <f>(1-D41)*(1-H41)*(1-p_progression)</f>
        <v>0.660825</v>
      </c>
      <c r="N41" s="65">
        <f>(1-D41)*(H41*(1-p_cure_early)+(1-H41)*p_progression)</f>
        <v>0.230065</v>
      </c>
      <c r="O41" s="65">
        <f>D41</f>
        <v>0.021</v>
      </c>
      <c r="P41" s="65">
        <f>1-Q41</f>
        <v>0.73425</v>
      </c>
      <c r="Q41" s="65">
        <f>1-(1-D41)*(1-p_death_advanced)</f>
        <v>0.26575000000000004</v>
      </c>
      <c r="R41" s="67">
        <f>R40*I40+S40*L40</f>
        <v>79007.69298269268</v>
      </c>
      <c r="S41" s="67">
        <f>R40*J40+S40*M40</f>
        <v>398.8065265590954</v>
      </c>
      <c r="T41" s="67">
        <f>S40*N40+T40*P40</f>
        <v>307.740665861667</v>
      </c>
      <c r="U41" s="67">
        <f>U40+R40*K40+S40*O40+T40*Q40</f>
        <v>20285.759824886674</v>
      </c>
      <c r="V41" s="67">
        <f>R41+S41+T41</f>
        <v>79714.24017511345</v>
      </c>
      <c r="W41" s="67">
        <f>R41*J41</f>
        <v>139.22735657410104</v>
      </c>
      <c r="X41" s="67">
        <f>S41*(1-D41)*H41</f>
        <v>39.04315895013543</v>
      </c>
      <c r="Y41" s="67">
        <f>S41*(1-D41)*(1-H41)*p_progression</f>
        <v>87.84710763780474</v>
      </c>
      <c r="Z41" s="67">
        <f>X41+Y41</f>
        <v>126.89026658794018</v>
      </c>
      <c r="AA41" s="67">
        <f>T41*(1-D41)*p_death_advanced</f>
        <v>75.319527969643</v>
      </c>
      <c r="AB41" s="67">
        <f>(R41+S41)*G41</f>
        <v>0.0</v>
      </c>
      <c r="AC41" s="67">
        <f>G41*(R41*(1-screen_specificity)+S41*screen_sensitivity)</f>
        <v>0.0</v>
      </c>
      <c r="AD41" s="68">
        <f>AB41*cost_screen_test+AC41*cost_followup_test</f>
        <v>0.0</v>
      </c>
      <c r="AE41" s="68">
        <f>X41*cost_early_treatment</f>
        <v>585647.3842520315</v>
      </c>
      <c r="AF41" s="68">
        <f>T41*cost_advanced_year</f>
        <v>6154813.317233341</v>
      </c>
      <c r="AG41" s="68">
        <f>AD41+AE41+AF41</f>
        <v>6740460.701485372</v>
      </c>
      <c r="AH41" s="67">
        <f>V41</f>
        <v>79714.24017511345</v>
      </c>
      <c r="AI41" s="67">
        <f>R41*u_healthy+S41*u_early+T41*u_advanced</f>
        <v>71615.16659822255</v>
      </c>
      <c r="AJ41" s="69">
        <f>1/(1+disc_costs)^A41</f>
        <v>0.3883370341369652</v>
      </c>
      <c r="AK41" s="69">
        <f>1/(1+disc_effects)^A41</f>
        <v>0.3883370341369652</v>
      </c>
      <c r="AL41" s="68">
        <f>AG41*AJ41</f>
        <v>2617570.517531597</v>
      </c>
      <c r="AM41" s="67">
        <f>AI41*AK41</f>
        <v>27810.8213959784</v>
      </c>
      <c r="AN41" s="67">
        <f>AH41*AK41</f>
        <v>30955.99160808527</v>
      </c>
      <c r="AO41" s="64" t="str">
        <f>IF(AND(ABS(V41+U41-cohort_size)&lt;0.000001*cohort_size,MIN(I41:Q41)&gt;=0,MAX(I41:Q41)&lt;=1),"OK","CHECK")</f>
        <v>OK</v>
      </c>
    </row>
    <row r="42">
      <c r="A42" s="63">
        <f>A41+1</f>
        <v>33.0</v>
      </c>
      <c r="B42" s="63">
        <f>start_age+A42</f>
        <v>73.0</v>
      </c>
      <c r="C42" s="64" t="str">
        <f>INDEX(age_band_label,MATCH(B42,age_band_start,1))</f>
        <v>70-74</v>
      </c>
      <c r="D42" s="65">
        <f>INDEX(p_background_death,MATCH(B42,age_band_start,1))</f>
        <v>0.021</v>
      </c>
      <c r="E42" s="65">
        <f>INDEX(p_cancer_onset,MATCH(B42,age_band_start,1))</f>
        <v>0.0018</v>
      </c>
      <c r="F42" s="63">
        <f>IF(AND($B$3="Yes",B42&gt;=$E$3,B42&lt;=$H$3),1,0)</f>
        <v>0.0</v>
      </c>
      <c r="G42" s="66">
        <f>F42*screen_participation</f>
        <v>0.0</v>
      </c>
      <c r="H42" s="65">
        <f>1-(1-p_detect_symptoms)*(1-G42*screen_sensitivity)</f>
        <v>0.09999999999999998</v>
      </c>
      <c r="I42" s="65">
        <f>1-J42-K42</f>
        <v>0.9772377999999999</v>
      </c>
      <c r="J42" s="65">
        <f>(1-D42)*E42</f>
        <v>0.0017622</v>
      </c>
      <c r="K42" s="65">
        <f>D42</f>
        <v>0.021</v>
      </c>
      <c r="L42" s="65">
        <f>(1-D42)*H42*p_cure_early</f>
        <v>0.08810999999999998</v>
      </c>
      <c r="M42" s="65">
        <f>(1-D42)*(1-H42)*(1-p_progression)</f>
        <v>0.660825</v>
      </c>
      <c r="N42" s="65">
        <f>(1-D42)*(H42*(1-p_cure_early)+(1-H42)*p_progression)</f>
        <v>0.230065</v>
      </c>
      <c r="O42" s="65">
        <f>D42</f>
        <v>0.021</v>
      </c>
      <c r="P42" s="65">
        <f>1-Q42</f>
        <v>0.73425</v>
      </c>
      <c r="Q42" s="65">
        <f>1-(1-D42)*(1-p_death_advanced)</f>
        <v>0.26575000000000004</v>
      </c>
      <c r="R42" s="67">
        <f>R41*I41+S41*L41</f>
        <v>77244.44291653714</v>
      </c>
      <c r="S42" s="67">
        <f>R41*J41+S41*M41</f>
        <v>402.7686794875152</v>
      </c>
      <c r="T42" s="67">
        <f>S41*N41+T41*P41</f>
        <v>317.7100074417473</v>
      </c>
      <c r="U42" s="67">
        <f>U41+R41*K41+S41*O41+T41*Q41</f>
        <v>22035.0783965337</v>
      </c>
      <c r="V42" s="67">
        <f>R42+S42+T42</f>
        <v>77964.92160346641</v>
      </c>
      <c r="W42" s="67">
        <f>R42*J42</f>
        <v>136.12015730752174</v>
      </c>
      <c r="X42" s="67">
        <f>S42*(1-D42)*H42</f>
        <v>39.43105372182773</v>
      </c>
      <c r="Y42" s="67">
        <f>S42*(1-D42)*(1-H42)*p_progression</f>
        <v>88.71987087411242</v>
      </c>
      <c r="Z42" s="67">
        <f>X42+Y42</f>
        <v>128.15092459594015</v>
      </c>
      <c r="AA42" s="67">
        <f>T42*(1-D42)*p_death_advanced</f>
        <v>77.75952432136765</v>
      </c>
      <c r="AB42" s="67">
        <f>(R42+S42)*G42</f>
        <v>0.0</v>
      </c>
      <c r="AC42" s="67">
        <f>G42*(R42*(1-screen_specificity)+S42*screen_sensitivity)</f>
        <v>0.0</v>
      </c>
      <c r="AD42" s="68">
        <f>AB42*cost_screen_test+AC42*cost_followup_test</f>
        <v>0.0</v>
      </c>
      <c r="AE42" s="68">
        <f>X42*cost_early_treatment</f>
        <v>591465.805827416</v>
      </c>
      <c r="AF42" s="68">
        <f>T42*cost_advanced_year</f>
        <v>6354200.148834946</v>
      </c>
      <c r="AG42" s="68">
        <f>AD42+AE42+AF42</f>
        <v>6945665.954662362</v>
      </c>
      <c r="AH42" s="67">
        <f>V42</f>
        <v>77964.92160346641</v>
      </c>
      <c r="AI42" s="67">
        <f>R42*u_healthy+S42*u_early+T42*u_advanced</f>
        <v>70037.09250654078</v>
      </c>
      <c r="AJ42" s="69">
        <f>1/(1+disc_costs)^A42</f>
        <v>0.37702624673491764</v>
      </c>
      <c r="AK42" s="69">
        <f>1/(1+disc_effects)^A42</f>
        <v>0.37702624673491764</v>
      </c>
      <c r="AL42" s="68">
        <f>AG42*AJ42</f>
        <v>2618698.365960849</v>
      </c>
      <c r="AM42" s="67">
        <f>AI42*AK42</f>
        <v>26405.822119967295</v>
      </c>
      <c r="AN42" s="67">
        <f>AH42*AK42</f>
        <v>29394.821769137037</v>
      </c>
      <c r="AO42" s="64" t="str">
        <f>IF(AND(ABS(V42+U42-cohort_size)&lt;0.000001*cohort_size,MIN(I42:Q42)&gt;=0,MAX(I42:Q42)&lt;=1),"OK","CHECK")</f>
        <v>OK</v>
      </c>
    </row>
    <row r="43">
      <c r="A43" s="63">
        <f>A42+1</f>
        <v>34.0</v>
      </c>
      <c r="B43" s="63">
        <f>start_age+A43</f>
        <v>74.0</v>
      </c>
      <c r="C43" s="64" t="str">
        <f>INDEX(age_band_label,MATCH(B43,age_band_start,1))</f>
        <v>70-74</v>
      </c>
      <c r="D43" s="65">
        <f>INDEX(p_background_death,MATCH(B43,age_band_start,1))</f>
        <v>0.021</v>
      </c>
      <c r="E43" s="65">
        <f>INDEX(p_cancer_onset,MATCH(B43,age_band_start,1))</f>
        <v>0.0018</v>
      </c>
      <c r="F43" s="63">
        <f>IF(AND($B$3="Yes",B43&gt;=$E$3,B43&lt;=$H$3),1,0)</f>
        <v>0.0</v>
      </c>
      <c r="G43" s="66">
        <f>F43*screen_participation</f>
        <v>0.0</v>
      </c>
      <c r="H43" s="65">
        <f>1-(1-p_detect_symptoms)*(1-G43*screen_sensitivity)</f>
        <v>0.09999999999999998</v>
      </c>
      <c r="I43" s="65">
        <f>1-J43-K43</f>
        <v>0.9772377999999999</v>
      </c>
      <c r="J43" s="65">
        <f>(1-D43)*E43</f>
        <v>0.0017622</v>
      </c>
      <c r="K43" s="65">
        <f>D43</f>
        <v>0.021</v>
      </c>
      <c r="L43" s="65">
        <f>(1-D43)*H43*p_cure_early</f>
        <v>0.08810999999999998</v>
      </c>
      <c r="M43" s="65">
        <f>(1-D43)*(1-H43)*(1-p_progression)</f>
        <v>0.660825</v>
      </c>
      <c r="N43" s="65">
        <f>(1-D43)*(H43*(1-p_cure_early)+(1-H43)*p_progression)</f>
        <v>0.230065</v>
      </c>
      <c r="O43" s="65">
        <f>D43</f>
        <v>0.021</v>
      </c>
      <c r="P43" s="65">
        <f>1-Q43</f>
        <v>0.73425</v>
      </c>
      <c r="Q43" s="65">
        <f>1-(1-D43)*(1-p_death_advanced)</f>
        <v>0.26575000000000004</v>
      </c>
      <c r="R43" s="67">
        <f>R42*I42+S42*L42</f>
        <v>75521.67740633198</v>
      </c>
      <c r="S43" s="67">
        <f>R42*J42+S42*M42</f>
        <v>402.27976992985896</v>
      </c>
      <c r="T43" s="67">
        <f>S42*N42+T42*P42</f>
        <v>325.9415492103981</v>
      </c>
      <c r="U43" s="67">
        <f>U42+R42*K42+S42*O42+T42*Q42</f>
        <v>23750.10127452786</v>
      </c>
      <c r="V43" s="67">
        <f>R43+S43+T43</f>
        <v>76249.89872547223</v>
      </c>
      <c r="W43" s="67">
        <f>R43*J43</f>
        <v>133.08429992543822</v>
      </c>
      <c r="X43" s="67">
        <f>S43*(1-D43)*H43</f>
        <v>39.38318947613318</v>
      </c>
      <c r="Y43" s="67">
        <f>S43*(1-D43)*(1-H43)*p_progression</f>
        <v>88.61217632129969</v>
      </c>
      <c r="Z43" s="67">
        <f>X43+Y43</f>
        <v>127.99536579743287</v>
      </c>
      <c r="AA43" s="67">
        <f>T43*(1-D43)*p_death_advanced</f>
        <v>79.77419416924492</v>
      </c>
      <c r="AB43" s="67">
        <f>(R43+S43)*G43</f>
        <v>0.0</v>
      </c>
      <c r="AC43" s="67">
        <f>G43*(R43*(1-screen_specificity)+S43*screen_sensitivity)</f>
        <v>0.0</v>
      </c>
      <c r="AD43" s="68">
        <f>AB43*cost_screen_test+AC43*cost_followup_test</f>
        <v>0.0</v>
      </c>
      <c r="AE43" s="68">
        <f>X43*cost_early_treatment</f>
        <v>590747.8421419978</v>
      </c>
      <c r="AF43" s="68">
        <f>T43*cost_advanced_year</f>
        <v>6518830.984207962</v>
      </c>
      <c r="AG43" s="68">
        <f>AD43+AE43+AF43</f>
        <v>7109578.82634996</v>
      </c>
      <c r="AH43" s="67">
        <f>V43</f>
        <v>76249.89872547223</v>
      </c>
      <c r="AI43" s="67">
        <f>R43*u_healthy+S43*u_early+T43*u_advanced</f>
        <v>68490.71532220488</v>
      </c>
      <c r="AJ43" s="69">
        <f>1/(1+disc_costs)^A43</f>
        <v>0.3660448997426385</v>
      </c>
      <c r="AK43" s="69">
        <f>1/(1+disc_effects)^A43</f>
        <v>0.3660448997426385</v>
      </c>
      <c r="AL43" s="68">
        <f>AG43*AJ43</f>
        <v>2602425.0687036566</v>
      </c>
      <c r="AM43" s="67">
        <f>AI43*AK43</f>
        <v>25070.67702341808</v>
      </c>
      <c r="AN43" s="67">
        <f>AH43*AK43</f>
        <v>27910.88653435182</v>
      </c>
      <c r="AO43" s="64" t="str">
        <f>IF(AND(ABS(V43+U43-cohort_size)&lt;0.000001*cohort_size,MIN(I43:Q43)&gt;=0,MAX(I43:Q43)&lt;=1),"OK","CHECK")</f>
        <v>OK</v>
      </c>
    </row>
    <row r="44">
      <c r="A44" s="63">
        <f>A43+1</f>
        <v>35.0</v>
      </c>
      <c r="B44" s="63">
        <f>start_age+A44</f>
        <v>75.0</v>
      </c>
      <c r="C44" s="64" t="str">
        <f>INDEX(age_band_label,MATCH(B44,age_band_start,1))</f>
        <v>75-79</v>
      </c>
      <c r="D44" s="65">
        <f>INDEX(p_background_death,MATCH(B44,age_band_start,1))</f>
        <v>0.035</v>
      </c>
      <c r="E44" s="65">
        <f>INDEX(p_cancer_onset,MATCH(B44,age_band_start,1))</f>
        <v>0.0021</v>
      </c>
      <c r="F44" s="63">
        <f>IF(AND($B$3="Yes",B44&gt;=$E$3,B44&lt;=$H$3),1,0)</f>
        <v>0.0</v>
      </c>
      <c r="G44" s="66">
        <f>F44*screen_participation</f>
        <v>0.0</v>
      </c>
      <c r="H44" s="65">
        <f>1-(1-p_detect_symptoms)*(1-G44*screen_sensitivity)</f>
        <v>0.09999999999999998</v>
      </c>
      <c r="I44" s="65">
        <f>1-J44-K44</f>
        <v>0.9629734999999999</v>
      </c>
      <c r="J44" s="65">
        <f>(1-D44)*E44</f>
        <v>0.0020264999999999997</v>
      </c>
      <c r="K44" s="65">
        <f>D44</f>
        <v>0.035</v>
      </c>
      <c r="L44" s="65">
        <f>(1-D44)*H44*p_cure_early</f>
        <v>0.08684999999999998</v>
      </c>
      <c r="M44" s="65">
        <f>(1-D44)*(1-H44)*(1-p_progression)</f>
        <v>0.6513749999999999</v>
      </c>
      <c r="N44" s="65">
        <f>(1-D44)*(H44*(1-p_cure_early)+(1-H44)*p_progression)</f>
        <v>0.22677499999999998</v>
      </c>
      <c r="O44" s="65">
        <f>D44</f>
        <v>0.035</v>
      </c>
      <c r="P44" s="65">
        <f>1-Q44</f>
        <v>0.72375</v>
      </c>
      <c r="Q44" s="65">
        <f>1-(1-D44)*(1-p_death_advanced)</f>
        <v>0.27625</v>
      </c>
      <c r="R44" s="67">
        <f>R43*I43+S43*L43</f>
        <v>73838.08275140208</v>
      </c>
      <c r="S44" s="67">
        <f>R43*J43+S43*M43</f>
        <v>398.92082888933726</v>
      </c>
      <c r="T44" s="67">
        <f>S43*N43+T43*P43</f>
        <v>331.8730777766478</v>
      </c>
      <c r="U44" s="67">
        <f>U43+R43*K43+S43*O43+T43*Q43</f>
        <v>25431.123341932023</v>
      </c>
      <c r="V44" s="67">
        <f>R44+S44+T44</f>
        <v>74568.87665806807</v>
      </c>
      <c r="W44" s="67">
        <f>R44*J44</f>
        <v>149.63287469571628</v>
      </c>
      <c r="X44" s="67">
        <f>S44*(1-D44)*H44</f>
        <v>38.495859987821035</v>
      </c>
      <c r="Y44" s="67">
        <f>S44*(1-D44)*(1-H44)*p_progression</f>
        <v>86.61568497259735</v>
      </c>
      <c r="Z44" s="67">
        <f>X44+Y44</f>
        <v>125.11154496041839</v>
      </c>
      <c r="AA44" s="67">
        <f>T44*(1-D44)*p_death_advanced</f>
        <v>80.06438001361627</v>
      </c>
      <c r="AB44" s="67">
        <f>(R44+S44)*G44</f>
        <v>0.0</v>
      </c>
      <c r="AC44" s="67">
        <f>G44*(R44*(1-screen_specificity)+S44*screen_sensitivity)</f>
        <v>0.0</v>
      </c>
      <c r="AD44" s="68">
        <f>AB44*cost_screen_test+AC44*cost_followup_test</f>
        <v>0.0</v>
      </c>
      <c r="AE44" s="68">
        <f>X44*cost_early_treatment</f>
        <v>577437.8998173155</v>
      </c>
      <c r="AF44" s="68">
        <f>T44*cost_advanced_year</f>
        <v>6637461.555532956</v>
      </c>
      <c r="AG44" s="68">
        <f>AD44+AE44+AF44</f>
        <v>7214899.455350271</v>
      </c>
      <c r="AH44" s="67">
        <f>V44</f>
        <v>74568.87665806807</v>
      </c>
      <c r="AI44" s="67">
        <f>R44*u_healthy+S44*u_early+T44*u_advanced</f>
        <v>66975.88737359496</v>
      </c>
      <c r="AJ44" s="69">
        <f>1/(1+disc_costs)^A44</f>
        <v>0.35538339780838685</v>
      </c>
      <c r="AK44" s="69">
        <f>1/(1+disc_effects)^A44</f>
        <v>0.35538339780838685</v>
      </c>
      <c r="AL44" s="68">
        <f>AG44*AJ44</f>
        <v>2564055.4832882592</v>
      </c>
      <c r="AM44" s="67">
        <f>AI44*AK44</f>
        <v>23802.118426060013</v>
      </c>
      <c r="AN44" s="67">
        <f>AH44*AK44</f>
        <v>26500.540757498737</v>
      </c>
      <c r="AO44" s="64" t="str">
        <f>IF(AND(ABS(V44+U44-cohort_size)&lt;0.000001*cohort_size,MIN(I44:Q44)&gt;=0,MAX(I44:Q44)&lt;=1),"OK","CHECK")</f>
        <v>OK</v>
      </c>
    </row>
    <row r="45">
      <c r="A45" s="63">
        <f>A44+1</f>
        <v>36.0</v>
      </c>
      <c r="B45" s="63">
        <f>start_age+A45</f>
        <v>76.0</v>
      </c>
      <c r="C45" s="64" t="str">
        <f>INDEX(age_band_label,MATCH(B45,age_band_start,1))</f>
        <v>75-79</v>
      </c>
      <c r="D45" s="65">
        <f>INDEX(p_background_death,MATCH(B45,age_band_start,1))</f>
        <v>0.035</v>
      </c>
      <c r="E45" s="65">
        <f>INDEX(p_cancer_onset,MATCH(B45,age_band_start,1))</f>
        <v>0.0021</v>
      </c>
      <c r="F45" s="63">
        <f>IF(AND($B$3="Yes",B45&gt;=$E$3,B45&lt;=$H$3),1,0)</f>
        <v>0.0</v>
      </c>
      <c r="G45" s="66">
        <f>F45*screen_participation</f>
        <v>0.0</v>
      </c>
      <c r="H45" s="65">
        <f>1-(1-p_detect_symptoms)*(1-G45*screen_sensitivity)</f>
        <v>0.09999999999999998</v>
      </c>
      <c r="I45" s="65">
        <f>1-J45-K45</f>
        <v>0.9629734999999999</v>
      </c>
      <c r="J45" s="65">
        <f>(1-D45)*E45</f>
        <v>0.0020264999999999997</v>
      </c>
      <c r="K45" s="65">
        <f>D45</f>
        <v>0.035</v>
      </c>
      <c r="L45" s="65">
        <f>(1-D45)*H45*p_cure_early</f>
        <v>0.08684999999999998</v>
      </c>
      <c r="M45" s="65">
        <f>(1-D45)*(1-H45)*(1-p_progression)</f>
        <v>0.6513749999999999</v>
      </c>
      <c r="N45" s="65">
        <f>(1-D45)*(H45*(1-p_cure_early)+(1-H45)*p_progression)</f>
        <v>0.22677499999999998</v>
      </c>
      <c r="O45" s="65">
        <f>D45</f>
        <v>0.035</v>
      </c>
      <c r="P45" s="65">
        <f>1-Q45</f>
        <v>0.72375</v>
      </c>
      <c r="Q45" s="65">
        <f>1-(1-D45)*(1-p_death_advanced)</f>
        <v>0.27625</v>
      </c>
      <c r="R45" s="67">
        <f>R44*I44+S44*L44</f>
        <v>71138.76325439633</v>
      </c>
      <c r="S45" s="67">
        <f>R44*J44+S44*M44</f>
        <v>409.4799296135083</v>
      </c>
      <c r="T45" s="67">
        <f>S44*N44+T44*P44</f>
        <v>330.65841101222827</v>
      </c>
      <c r="U45" s="67">
        <f>U44+R44*K44+S44*O44+T44*Q44</f>
        <v>28121.098404978024</v>
      </c>
      <c r="V45" s="67">
        <f>R45+S45+T45</f>
        <v>71878.90159502206</v>
      </c>
      <c r="W45" s="67">
        <f>R45*J45</f>
        <v>144.16270373503414</v>
      </c>
      <c r="X45" s="67">
        <f>S45*(1-D45)*H45</f>
        <v>39.51481320770355</v>
      </c>
      <c r="Y45" s="67">
        <f>S45*(1-D45)*(1-H45)*p_progression</f>
        <v>88.908329717333</v>
      </c>
      <c r="Z45" s="67">
        <f>X45+Y45</f>
        <v>128.42314292503656</v>
      </c>
      <c r="AA45" s="67">
        <f>T45*(1-D45)*p_death_advanced</f>
        <v>79.77134165670007</v>
      </c>
      <c r="AB45" s="67">
        <f>(R45+S45)*G45</f>
        <v>0.0</v>
      </c>
      <c r="AC45" s="67">
        <f>G45*(R45*(1-screen_specificity)+S45*screen_sensitivity)</f>
        <v>0.0</v>
      </c>
      <c r="AD45" s="68">
        <f>AB45*cost_screen_test+AC45*cost_followup_test</f>
        <v>0.0</v>
      </c>
      <c r="AE45" s="68">
        <f>X45*cost_early_treatment</f>
        <v>592722.1981155532</v>
      </c>
      <c r="AF45" s="68">
        <f>T45*cost_advanced_year</f>
        <v>6613168.220244565</v>
      </c>
      <c r="AG45" s="68">
        <f>AD45+AE45+AF45</f>
        <v>7205890.418360118</v>
      </c>
      <c r="AH45" s="67">
        <f>V45</f>
        <v>71878.90159502206</v>
      </c>
      <c r="AI45" s="67">
        <f>R45*u_healthy+S45*u_early+T45*u_advanced</f>
        <v>64554.806995184896</v>
      </c>
      <c r="AJ45" s="69">
        <f>1/(1+disc_costs)^A45</f>
        <v>0.34503242505668624</v>
      </c>
      <c r="AK45" s="69">
        <f>1/(1+disc_effects)^A45</f>
        <v>0.34503242505668624</v>
      </c>
      <c r="AL45" s="68">
        <f>AG45*AJ45</f>
        <v>2486265.845739531</v>
      </c>
      <c r="AM45" s="67">
        <f>AI45*AK45</f>
        <v>22273.501606614976</v>
      </c>
      <c r="AN45" s="67">
        <f>AH45*AK45</f>
        <v>24800.551727741375</v>
      </c>
      <c r="AO45" s="64" t="str">
        <f>IF(AND(ABS(V45+U45-cohort_size)&lt;0.000001*cohort_size,MIN(I45:Q45)&gt;=0,MAX(I45:Q45)&lt;=1),"OK","CHECK")</f>
        <v>OK</v>
      </c>
    </row>
    <row r="46">
      <c r="A46" s="63">
        <f>A45+1</f>
        <v>37.0</v>
      </c>
      <c r="B46" s="63">
        <f>start_age+A46</f>
        <v>77.0</v>
      </c>
      <c r="C46" s="64" t="str">
        <f>INDEX(age_band_label,MATCH(B46,age_band_start,1))</f>
        <v>75-79</v>
      </c>
      <c r="D46" s="65">
        <f>INDEX(p_background_death,MATCH(B46,age_band_start,1))</f>
        <v>0.035</v>
      </c>
      <c r="E46" s="65">
        <f>INDEX(p_cancer_onset,MATCH(B46,age_band_start,1))</f>
        <v>0.0021</v>
      </c>
      <c r="F46" s="63">
        <f>IF(AND($B$3="Yes",B46&gt;=$E$3,B46&lt;=$H$3),1,0)</f>
        <v>0.0</v>
      </c>
      <c r="G46" s="66">
        <f>F46*screen_participation</f>
        <v>0.0</v>
      </c>
      <c r="H46" s="65">
        <f>1-(1-p_detect_symptoms)*(1-G46*screen_sensitivity)</f>
        <v>0.09999999999999998</v>
      </c>
      <c r="I46" s="65">
        <f>1-J46-K46</f>
        <v>0.9629734999999999</v>
      </c>
      <c r="J46" s="65">
        <f>(1-D46)*E46</f>
        <v>0.0020264999999999997</v>
      </c>
      <c r="K46" s="65">
        <f>D46</f>
        <v>0.035</v>
      </c>
      <c r="L46" s="65">
        <f>(1-D46)*H46*p_cure_early</f>
        <v>0.08684999999999998</v>
      </c>
      <c r="M46" s="65">
        <f>(1-D46)*(1-H46)*(1-p_progression)</f>
        <v>0.6513749999999999</v>
      </c>
      <c r="N46" s="65">
        <f>(1-D46)*(H46*(1-p_cure_early)+(1-H46)*p_progression)</f>
        <v>0.22677499999999998</v>
      </c>
      <c r="O46" s="65">
        <f>D46</f>
        <v>0.035</v>
      </c>
      <c r="P46" s="65">
        <f>1-Q46</f>
        <v>0.72375</v>
      </c>
      <c r="Q46" s="65">
        <f>1-(1-D46)*(1-p_death_advanced)</f>
        <v>0.27625</v>
      </c>
      <c r="R46" s="67">
        <f>R45*I45+S45*L45</f>
        <v>68540.30716864436</v>
      </c>
      <c r="S46" s="67">
        <f>R45*J45+S45*M45</f>
        <v>410.8876928870331</v>
      </c>
      <c r="T46" s="67">
        <f>S45*N45+T45*P45</f>
        <v>332.1738360082036</v>
      </c>
      <c r="U46" s="67">
        <f>U45+R45*K45+S45*O45+T45*Q45</f>
        <v>30716.631302460497</v>
      </c>
      <c r="V46" s="67">
        <f>R46+S46+T46</f>
        <v>69283.3686975396</v>
      </c>
      <c r="W46" s="67">
        <f>R46*J46</f>
        <v>138.89693247725776</v>
      </c>
      <c r="X46" s="67">
        <f>S46*(1-D46)*H46</f>
        <v>39.650662363598684</v>
      </c>
      <c r="Y46" s="67">
        <f>S46*(1-D46)*(1-H46)*p_progression</f>
        <v>89.21399031809706</v>
      </c>
      <c r="Z46" s="67">
        <f>X46+Y46</f>
        <v>128.86465268169576</v>
      </c>
      <c r="AA46" s="67">
        <f>T46*(1-D46)*p_death_advanced</f>
        <v>80.13693793697911</v>
      </c>
      <c r="AB46" s="67">
        <f>(R46+S46)*G46</f>
        <v>0.0</v>
      </c>
      <c r="AC46" s="67">
        <f>G46*(R46*(1-screen_specificity)+S46*screen_sensitivity)</f>
        <v>0.0</v>
      </c>
      <c r="AD46" s="68">
        <f>AB46*cost_screen_test+AC46*cost_followup_test</f>
        <v>0.0</v>
      </c>
      <c r="AE46" s="68">
        <f>X46*cost_early_treatment</f>
        <v>594759.9354539802</v>
      </c>
      <c r="AF46" s="68">
        <f>T46*cost_advanced_year</f>
        <v>6643476.720164072</v>
      </c>
      <c r="AG46" s="68">
        <f>AD46+AE46+AF46</f>
        <v>7238236.655618052</v>
      </c>
      <c r="AH46" s="67">
        <f>V46</f>
        <v>69283.3686975396</v>
      </c>
      <c r="AI46" s="67">
        <f>R46*u_healthy+S46*u_early+T46*u_advanced</f>
        <v>62218.226600538415</v>
      </c>
      <c r="AJ46" s="69">
        <f>1/(1+disc_costs)^A46</f>
        <v>0.3349829369482391</v>
      </c>
      <c r="AK46" s="69">
        <f>1/(1+disc_effects)^A46</f>
        <v>0.3349829369482391</v>
      </c>
      <c r="AL46" s="68">
        <f>AG46*AJ46</f>
        <v>2424685.773225335</v>
      </c>
      <c r="AM46" s="67">
        <f>AI46*AK46</f>
        <v>20842.04427835941</v>
      </c>
      <c r="AN46" s="67">
        <f>AH46*AK46</f>
        <v>23208.74632796951</v>
      </c>
      <c r="AO46" s="64" t="str">
        <f>IF(AND(ABS(V46+U46-cohort_size)&lt;0.000001*cohort_size,MIN(I46:Q46)&gt;=0,MAX(I46:Q46)&lt;=1),"OK","CHECK")</f>
        <v>OK</v>
      </c>
    </row>
    <row r="47">
      <c r="A47" s="63">
        <f>A46+1</f>
        <v>38.0</v>
      </c>
      <c r="B47" s="63">
        <f>start_age+A47</f>
        <v>78.0</v>
      </c>
      <c r="C47" s="64" t="str">
        <f>INDEX(age_band_label,MATCH(B47,age_band_start,1))</f>
        <v>75-79</v>
      </c>
      <c r="D47" s="65">
        <f>INDEX(p_background_death,MATCH(B47,age_band_start,1))</f>
        <v>0.035</v>
      </c>
      <c r="E47" s="65">
        <f>INDEX(p_cancer_onset,MATCH(B47,age_band_start,1))</f>
        <v>0.0021</v>
      </c>
      <c r="F47" s="63">
        <f>IF(AND($B$3="Yes",B47&gt;=$E$3,B47&lt;=$H$3),1,0)</f>
        <v>0.0</v>
      </c>
      <c r="G47" s="66">
        <f>F47*screen_participation</f>
        <v>0.0</v>
      </c>
      <c r="H47" s="65">
        <f>1-(1-p_detect_symptoms)*(1-G47*screen_sensitivity)</f>
        <v>0.09999999999999998</v>
      </c>
      <c r="I47" s="65">
        <f>1-J47-K47</f>
        <v>0.9629734999999999</v>
      </c>
      <c r="J47" s="65">
        <f>(1-D47)*E47</f>
        <v>0.0020264999999999997</v>
      </c>
      <c r="K47" s="65">
        <f>D47</f>
        <v>0.035</v>
      </c>
      <c r="L47" s="65">
        <f>(1-D47)*H47*p_cure_early</f>
        <v>0.08684999999999998</v>
      </c>
      <c r="M47" s="65">
        <f>(1-D47)*(1-H47)*(1-p_progression)</f>
        <v>0.6513749999999999</v>
      </c>
      <c r="N47" s="65">
        <f>(1-D47)*(H47*(1-p_cure_early)+(1-H47)*p_progression)</f>
        <v>0.22677499999999998</v>
      </c>
      <c r="O47" s="65">
        <f>D47</f>
        <v>0.035</v>
      </c>
      <c r="P47" s="65">
        <f>1-Q47</f>
        <v>0.72375</v>
      </c>
      <c r="Q47" s="65">
        <f>1-(1-D47)*(1-p_death_advanced)</f>
        <v>0.27625</v>
      </c>
      <c r="R47" s="67">
        <f>R46*I46+S46*L46</f>
        <v>66038.18508139178</v>
      </c>
      <c r="S47" s="67">
        <f>R46*J46+S46*M46</f>
        <v>406.5389034315489</v>
      </c>
      <c r="T47" s="67">
        <f>S46*N46+T46*P46</f>
        <v>333.5898703653943</v>
      </c>
      <c r="U47" s="67">
        <f>U46+R46*K46+S46*O46+T46*Q46</f>
        <v>33221.68614481136</v>
      </c>
      <c r="V47" s="67">
        <f>R47+S47+T47</f>
        <v>66778.31385518872</v>
      </c>
      <c r="W47" s="67">
        <f>R47*J47</f>
        <v>133.82638206744042</v>
      </c>
      <c r="X47" s="67">
        <f>S47*(1-D47)*H47</f>
        <v>39.231004181144456</v>
      </c>
      <c r="Y47" s="67">
        <f>S47*(1-D47)*(1-H47)*p_progression</f>
        <v>88.26975940757505</v>
      </c>
      <c r="Z47" s="67">
        <f>X47+Y47</f>
        <v>127.50076358871951</v>
      </c>
      <c r="AA47" s="67">
        <f>T47*(1-D47)*p_death_advanced</f>
        <v>80.47855622565137</v>
      </c>
      <c r="AB47" s="67">
        <f>(R47+S47)*G47</f>
        <v>0.0</v>
      </c>
      <c r="AC47" s="67">
        <f>G47*(R47*(1-screen_specificity)+S47*screen_sensitivity)</f>
        <v>0.0</v>
      </c>
      <c r="AD47" s="68">
        <f>AB47*cost_screen_test+AC47*cost_followup_test</f>
        <v>0.0</v>
      </c>
      <c r="AE47" s="68">
        <f>X47*cost_early_treatment</f>
        <v>588465.0627171668</v>
      </c>
      <c r="AF47" s="68">
        <f>T47*cost_advanced_year</f>
        <v>6671797.407307886</v>
      </c>
      <c r="AG47" s="68">
        <f>AD47+AE47+AF47</f>
        <v>7260262.470025052</v>
      </c>
      <c r="AH47" s="67">
        <f>V47</f>
        <v>66778.31385518872</v>
      </c>
      <c r="AI47" s="67">
        <f>R47*u_healthy+S47*u_early+T47*u_advanced</f>
        <v>59963.39906987039</v>
      </c>
      <c r="AJ47" s="69">
        <f>1/(1+disc_costs)^A47</f>
        <v>0.3252261523769311</v>
      </c>
      <c r="AK47" s="69">
        <f>1/(1+disc_effects)^A47</f>
        <v>0.3252261523769311</v>
      </c>
      <c r="AL47" s="68">
        <f>AG47*AJ47</f>
        <v>2361227.2283728817</v>
      </c>
      <c r="AM47" s="67">
        <f>AI47*AK47</f>
        <v>19501.665562936396</v>
      </c>
      <c r="AN47" s="67">
        <f>AH47*AK47</f>
        <v>21718.054077342138</v>
      </c>
      <c r="AO47" s="64" t="str">
        <f>IF(AND(ABS(V47+U47-cohort_size)&lt;0.000001*cohort_size,MIN(I47:Q47)&gt;=0,MAX(I47:Q47)&lt;=1),"OK","CHECK")</f>
        <v>OK</v>
      </c>
    </row>
    <row r="48">
      <c r="A48" s="63">
        <f>A47+1</f>
        <v>39.0</v>
      </c>
      <c r="B48" s="63">
        <f>start_age+A48</f>
        <v>79.0</v>
      </c>
      <c r="C48" s="64" t="str">
        <f>INDEX(age_band_label,MATCH(B48,age_band_start,1))</f>
        <v>75-79</v>
      </c>
      <c r="D48" s="65">
        <f>INDEX(p_background_death,MATCH(B48,age_band_start,1))</f>
        <v>0.035</v>
      </c>
      <c r="E48" s="65">
        <f>INDEX(p_cancer_onset,MATCH(B48,age_band_start,1))</f>
        <v>0.0021</v>
      </c>
      <c r="F48" s="63">
        <f>IF(AND($B$3="Yes",B48&gt;=$E$3,B48&lt;=$H$3),1,0)</f>
        <v>0.0</v>
      </c>
      <c r="G48" s="66">
        <f>F48*screen_participation</f>
        <v>0.0</v>
      </c>
      <c r="H48" s="65">
        <f>1-(1-p_detect_symptoms)*(1-G48*screen_sensitivity)</f>
        <v>0.09999999999999998</v>
      </c>
      <c r="I48" s="65">
        <f>1-J48-K48</f>
        <v>0.9629734999999999</v>
      </c>
      <c r="J48" s="65">
        <f>(1-D48)*E48</f>
        <v>0.0020264999999999997</v>
      </c>
      <c r="K48" s="65">
        <f>D48</f>
        <v>0.035</v>
      </c>
      <c r="L48" s="65">
        <f>(1-D48)*H48*p_cure_early</f>
        <v>0.08684999999999998</v>
      </c>
      <c r="M48" s="65">
        <f>(1-D48)*(1-H48)*(1-p_progression)</f>
        <v>0.6513749999999999</v>
      </c>
      <c r="N48" s="65">
        <f>(1-D48)*(H48*(1-p_cure_early)+(1-H48)*p_progression)</f>
        <v>0.22677499999999998</v>
      </c>
      <c r="O48" s="65">
        <f>D48</f>
        <v>0.035</v>
      </c>
      <c r="P48" s="65">
        <f>1-Q48</f>
        <v>0.72375</v>
      </c>
      <c r="Q48" s="65">
        <f>1-(1-D48)*(1-p_death_advanced)</f>
        <v>0.27625</v>
      </c>
      <c r="R48" s="67">
        <f>R47*I47+S47*L47</f>
        <v>63628.33012523866</v>
      </c>
      <c r="S48" s="67">
        <f>R47*J47+S47*M47</f>
        <v>398.63566029016556</v>
      </c>
      <c r="T48" s="67">
        <f>S47*N47+T47*P47</f>
        <v>333.6285285026436</v>
      </c>
      <c r="U48" s="67">
        <f>U47+R47*K47+S47*O47+T47*Q47</f>
        <v>35639.405685968624</v>
      </c>
      <c r="V48" s="67">
        <f>R48+S48+T48</f>
        <v>64360.59431403147</v>
      </c>
      <c r="W48" s="67">
        <f>R48*J48</f>
        <v>128.94281099879612</v>
      </c>
      <c r="X48" s="67">
        <f>S48*(1-D48)*H48</f>
        <v>38.46834121800097</v>
      </c>
      <c r="Y48" s="67">
        <f>S48*(1-D48)*(1-H48)*p_progression</f>
        <v>86.55376774050221</v>
      </c>
      <c r="Z48" s="67">
        <f>X48+Y48</f>
        <v>125.02210895850318</v>
      </c>
      <c r="AA48" s="67">
        <f>T48*(1-D48)*p_death_advanced</f>
        <v>80.48788250126276</v>
      </c>
      <c r="AB48" s="67">
        <f>(R48+S48)*G48</f>
        <v>0.0</v>
      </c>
      <c r="AC48" s="67">
        <f>G48*(R48*(1-screen_specificity)+S48*screen_sensitivity)</f>
        <v>0.0</v>
      </c>
      <c r="AD48" s="68">
        <f>AB48*cost_screen_test+AC48*cost_followup_test</f>
        <v>0.0</v>
      </c>
      <c r="AE48" s="68">
        <f>X48*cost_early_treatment</f>
        <v>577025.1182700146</v>
      </c>
      <c r="AF48" s="68">
        <f>T48*cost_advanced_year</f>
        <v>6672570.5700528715</v>
      </c>
      <c r="AG48" s="68">
        <f>AD48+AE48+AF48</f>
        <v>7249595.688322886</v>
      </c>
      <c r="AH48" s="67">
        <f>V48</f>
        <v>64360.59431403147</v>
      </c>
      <c r="AI48" s="67">
        <f>R48*u_healthy+S48*u_early+T48*u_advanced</f>
        <v>57787.83311463789</v>
      </c>
      <c r="AJ48" s="69">
        <f>1/(1+disc_costs)^A48</f>
        <v>0.3157535459970205</v>
      </c>
      <c r="AK48" s="69">
        <f>1/(1+disc_effects)^A48</f>
        <v>0.3157535459970205</v>
      </c>
      <c r="AL48" s="68">
        <f>AG48*AJ48</f>
        <v>2289085.545632662</v>
      </c>
      <c r="AM48" s="67">
        <f>AI48*AK48</f>
        <v>18246.71322143096</v>
      </c>
      <c r="AN48" s="67">
        <f>AH48*AK48</f>
        <v>20322.08587713111</v>
      </c>
      <c r="AO48" s="64" t="str">
        <f>IF(AND(ABS(V48+U48-cohort_size)&lt;0.000001*cohort_size,MIN(I48:Q48)&gt;=0,MAX(I48:Q48)&lt;=1),"OK","CHECK")</f>
        <v>OK</v>
      </c>
    </row>
    <row r="49">
      <c r="A49" s="63">
        <f>A48+1</f>
        <v>40.0</v>
      </c>
      <c r="B49" s="63">
        <f>start_age+A49</f>
        <v>80.0</v>
      </c>
      <c r="C49" s="64" t="str">
        <f>INDEX(age_band_label,MATCH(B49,age_band_start,1))</f>
        <v>80-84</v>
      </c>
      <c r="D49" s="65">
        <f>INDEX(p_background_death,MATCH(B49,age_band_start,1))</f>
        <v>0.06</v>
      </c>
      <c r="E49" s="65">
        <f>INDEX(p_cancer_onset,MATCH(B49,age_band_start,1))</f>
        <v>0.0024</v>
      </c>
      <c r="F49" s="63">
        <f>IF(AND($B$3="Yes",B49&gt;=$E$3,B49&lt;=$H$3),1,0)</f>
        <v>0.0</v>
      </c>
      <c r="G49" s="66">
        <f>F49*screen_participation</f>
        <v>0.0</v>
      </c>
      <c r="H49" s="65">
        <f>1-(1-p_detect_symptoms)*(1-G49*screen_sensitivity)</f>
        <v>0.09999999999999998</v>
      </c>
      <c r="I49" s="65">
        <f>1-J49-K49</f>
        <v>0.9377439999999999</v>
      </c>
      <c r="J49" s="65">
        <f>(1-D49)*E49</f>
        <v>0.0022559999999999998</v>
      </c>
      <c r="K49" s="65">
        <f>D49</f>
        <v>0.06</v>
      </c>
      <c r="L49" s="65">
        <f>(1-D49)*H49*p_cure_early</f>
        <v>0.08459999999999998</v>
      </c>
      <c r="M49" s="65">
        <f>(1-D49)*(1-H49)*(1-p_progression)</f>
        <v>0.6345</v>
      </c>
      <c r="N49" s="65">
        <f>(1-D49)*(H49*(1-p_cure_early)+(1-H49)*p_progression)</f>
        <v>0.22089999999999999</v>
      </c>
      <c r="O49" s="65">
        <f>D49</f>
        <v>0.06</v>
      </c>
      <c r="P49" s="65">
        <f>1-Q49</f>
        <v>0.705</v>
      </c>
      <c r="Q49" s="65">
        <f>1-(1-D49)*(1-p_death_advanced)</f>
        <v>0.29500000000000004</v>
      </c>
      <c r="R49" s="67">
        <f>R48*I48+S48*L48</f>
        <v>61307.0172669527</v>
      </c>
      <c r="S49" s="67">
        <f>R48*J48+S48*M48</f>
        <v>388.6041142203027</v>
      </c>
      <c r="T49" s="67">
        <f>S48*N48+T48*P48</f>
        <v>331.8642493660906</v>
      </c>
      <c r="U49" s="67">
        <f>U48+R48*K48+S48*O48+T48*Q48</f>
        <v>37972.514369460994</v>
      </c>
      <c r="V49" s="67">
        <f>R49+S49+T49</f>
        <v>62027.48563053909</v>
      </c>
      <c r="W49" s="67">
        <f>R49*J49</f>
        <v>138.30863095424527</v>
      </c>
      <c r="X49" s="67">
        <f>S49*(1-D49)*H49</f>
        <v>36.52878673670844</v>
      </c>
      <c r="Y49" s="67">
        <f>S49*(1-D49)*(1-H49)*p_progression</f>
        <v>82.18977015759401</v>
      </c>
      <c r="Z49" s="67">
        <f>X49+Y49</f>
        <v>118.71855689430245</v>
      </c>
      <c r="AA49" s="67">
        <f>T49*(1-D49)*p_death_advanced</f>
        <v>77.98809860103128</v>
      </c>
      <c r="AB49" s="67">
        <f>(R49+S49)*G49</f>
        <v>0.0</v>
      </c>
      <c r="AC49" s="67">
        <f>G49*(R49*(1-screen_specificity)+S49*screen_sensitivity)</f>
        <v>0.0</v>
      </c>
      <c r="AD49" s="68">
        <f>AB49*cost_screen_test+AC49*cost_followup_test</f>
        <v>0.0</v>
      </c>
      <c r="AE49" s="68">
        <f>X49*cost_early_treatment</f>
        <v>547931.8010506266</v>
      </c>
      <c r="AF49" s="68">
        <f>T49*cost_advanced_year</f>
        <v>6637284.987321812</v>
      </c>
      <c r="AG49" s="68">
        <f>AD49+AE49+AF49</f>
        <v>7185216.788372438</v>
      </c>
      <c r="AH49" s="67">
        <f>V49</f>
        <v>62027.48563053909</v>
      </c>
      <c r="AI49" s="67">
        <f>R49*u_healthy+S49*u_early+T49*u_advanced</f>
        <v>55689.154374496036</v>
      </c>
      <c r="AJ49" s="69">
        <f>1/(1+disc_costs)^A49</f>
        <v>0.3065568407738063</v>
      </c>
      <c r="AK49" s="69">
        <f>1/(1+disc_effects)^A49</f>
        <v>0.3065568407738063</v>
      </c>
      <c r="AL49" s="68">
        <f>AG49*AJ49</f>
        <v>2202677.3589183693</v>
      </c>
      <c r="AM49" s="67">
        <f>AI49*AK49</f>
        <v>17071.8912304103</v>
      </c>
      <c r="AN49" s="67">
        <f>AH49*AK49</f>
        <v>19014.95003604073</v>
      </c>
      <c r="AO49" s="64" t="str">
        <f>IF(AND(ABS(V49+U49-cohort_size)&lt;0.000001*cohort_size,MIN(I49:Q49)&gt;=0,MAX(I49:Q49)&lt;=1),"OK","CHECK")</f>
        <v>OK</v>
      </c>
    </row>
    <row r="50">
      <c r="A50" s="63">
        <f>A49+1</f>
        <v>41.0</v>
      </c>
      <c r="B50" s="63">
        <f>start_age+A50</f>
        <v>81.0</v>
      </c>
      <c r="C50" s="64" t="str">
        <f>INDEX(age_band_label,MATCH(B50,age_band_start,1))</f>
        <v>80-84</v>
      </c>
      <c r="D50" s="65">
        <f>INDEX(p_background_death,MATCH(B50,age_band_start,1))</f>
        <v>0.06</v>
      </c>
      <c r="E50" s="65">
        <f>INDEX(p_cancer_onset,MATCH(B50,age_band_start,1))</f>
        <v>0.0024</v>
      </c>
      <c r="F50" s="63">
        <f>IF(AND($B$3="Yes",B50&gt;=$E$3,B50&lt;=$H$3),1,0)</f>
        <v>0.0</v>
      </c>
      <c r="G50" s="66">
        <f>F50*screen_participation</f>
        <v>0.0</v>
      </c>
      <c r="H50" s="65">
        <f>1-(1-p_detect_symptoms)*(1-G50*screen_sensitivity)</f>
        <v>0.09999999999999998</v>
      </c>
      <c r="I50" s="65">
        <f>1-J50-K50</f>
        <v>0.9377439999999999</v>
      </c>
      <c r="J50" s="65">
        <f>(1-D50)*E50</f>
        <v>0.0022559999999999998</v>
      </c>
      <c r="K50" s="65">
        <f>D50</f>
        <v>0.06</v>
      </c>
      <c r="L50" s="65">
        <f>(1-D50)*H50*p_cure_early</f>
        <v>0.08459999999999998</v>
      </c>
      <c r="M50" s="65">
        <f>(1-D50)*(1-H50)*(1-p_progression)</f>
        <v>0.6345</v>
      </c>
      <c r="N50" s="65">
        <f>(1-D50)*(H50*(1-p_cure_early)+(1-H50)*p_progression)</f>
        <v>0.22089999999999999</v>
      </c>
      <c r="O50" s="65">
        <f>D50</f>
        <v>0.06</v>
      </c>
      <c r="P50" s="65">
        <f>1-Q50</f>
        <v>0.705</v>
      </c>
      <c r="Q50" s="65">
        <f>1-(1-D50)*(1-p_death_advanced)</f>
        <v>0.29500000000000004</v>
      </c>
      <c r="R50" s="67">
        <f>R49*I49+S49*L49</f>
        <v>57523.16350804433</v>
      </c>
      <c r="S50" s="67">
        <f>R49*J49+S49*M49</f>
        <v>384.8779414270273</v>
      </c>
      <c r="T50" s="67">
        <f>S49*N49+T49*P49</f>
        <v>319.80694463435873</v>
      </c>
      <c r="U50" s="67">
        <f>U49+R49*K49+S49*O49+T49*Q49</f>
        <v>41772.151605894374</v>
      </c>
      <c r="V50" s="67">
        <f>R50+S50+T50</f>
        <v>58227.84839410571</v>
      </c>
      <c r="W50" s="67">
        <f>R50*J50</f>
        <v>129.77225687414798</v>
      </c>
      <c r="X50" s="67">
        <f>S50*(1-D50)*H50</f>
        <v>36.178526494140556</v>
      </c>
      <c r="Y50" s="67">
        <f>S50*(1-D50)*(1-H50)*p_progression</f>
        <v>81.40168461181626</v>
      </c>
      <c r="Z50" s="67">
        <f>X50+Y50</f>
        <v>117.58021110595682</v>
      </c>
      <c r="AA50" s="67">
        <f>T50*(1-D50)*p_death_advanced</f>
        <v>75.1546319890743</v>
      </c>
      <c r="AB50" s="67">
        <f>(R50+S50)*G50</f>
        <v>0.0</v>
      </c>
      <c r="AC50" s="67">
        <f>G50*(R50*(1-screen_specificity)+S50*screen_sensitivity)</f>
        <v>0.0</v>
      </c>
      <c r="AD50" s="68">
        <f>AB50*cost_screen_test+AC50*cost_followup_test</f>
        <v>0.0</v>
      </c>
      <c r="AE50" s="68">
        <f>X50*cost_early_treatment</f>
        <v>542677.8974121084</v>
      </c>
      <c r="AF50" s="68">
        <f>T50*cost_advanced_year</f>
        <v>6396138.8926871745</v>
      </c>
      <c r="AG50" s="68">
        <f>AD50+AE50+AF50</f>
        <v>6938816.790099283</v>
      </c>
      <c r="AH50" s="67">
        <f>V50</f>
        <v>58227.84839410571</v>
      </c>
      <c r="AI50" s="67">
        <f>R50*u_healthy+S50*u_early+T50*u_advanced</f>
        <v>52273.88722700177</v>
      </c>
      <c r="AJ50" s="69">
        <f>1/(1+disc_costs)^A50</f>
        <v>0.2976280007512683</v>
      </c>
      <c r="AK50" s="69">
        <f>1/(1+disc_effects)^A50</f>
        <v>0.2976280007512683</v>
      </c>
      <c r="AL50" s="68">
        <f>AG50*AJ50</f>
        <v>2065186.1688165823</v>
      </c>
      <c r="AM50" s="67">
        <f>AI50*AK50</f>
        <v>15558.172546869795</v>
      </c>
      <c r="AN50" s="67">
        <f>AH50*AK50</f>
        <v>17330.23810558563</v>
      </c>
      <c r="AO50" s="64" t="str">
        <f>IF(AND(ABS(V50+U50-cohort_size)&lt;0.000001*cohort_size,MIN(I50:Q50)&gt;=0,MAX(I50:Q50)&lt;=1),"OK","CHECK")</f>
        <v>OK</v>
      </c>
    </row>
    <row r="51">
      <c r="A51" s="63">
        <f>A50+1</f>
        <v>42.0</v>
      </c>
      <c r="B51" s="63">
        <f>start_age+A51</f>
        <v>82.0</v>
      </c>
      <c r="C51" s="64" t="str">
        <f>INDEX(age_band_label,MATCH(B51,age_band_start,1))</f>
        <v>80-84</v>
      </c>
      <c r="D51" s="65">
        <f>INDEX(p_background_death,MATCH(B51,age_band_start,1))</f>
        <v>0.06</v>
      </c>
      <c r="E51" s="65">
        <f>INDEX(p_cancer_onset,MATCH(B51,age_band_start,1))</f>
        <v>0.0024</v>
      </c>
      <c r="F51" s="63">
        <f>IF(AND($B$3="Yes",B51&gt;=$E$3,B51&lt;=$H$3),1,0)</f>
        <v>0.0</v>
      </c>
      <c r="G51" s="66">
        <f>F51*screen_participation</f>
        <v>0.0</v>
      </c>
      <c r="H51" s="65">
        <f>1-(1-p_detect_symptoms)*(1-G51*screen_sensitivity)</f>
        <v>0.09999999999999998</v>
      </c>
      <c r="I51" s="65">
        <f>1-J51-K51</f>
        <v>0.9377439999999999</v>
      </c>
      <c r="J51" s="65">
        <f>(1-D51)*E51</f>
        <v>0.0022559999999999998</v>
      </c>
      <c r="K51" s="65">
        <f>D51</f>
        <v>0.06</v>
      </c>
      <c r="L51" s="65">
        <f>(1-D51)*H51*p_cure_early</f>
        <v>0.08459999999999998</v>
      </c>
      <c r="M51" s="65">
        <f>(1-D51)*(1-H51)*(1-p_progression)</f>
        <v>0.6345</v>
      </c>
      <c r="N51" s="65">
        <f>(1-D51)*(H51*(1-p_cure_early)+(1-H51)*p_progression)</f>
        <v>0.22089999999999999</v>
      </c>
      <c r="O51" s="65">
        <f>D51</f>
        <v>0.06</v>
      </c>
      <c r="P51" s="65">
        <f>1-Q51</f>
        <v>0.705</v>
      </c>
      <c r="Q51" s="65">
        <f>1-(1-D51)*(1-p_death_advanced)</f>
        <v>0.29500000000000004</v>
      </c>
      <c r="R51" s="67">
        <f>R50*I50+S50*L50</f>
        <v>53974.562114532244</v>
      </c>
      <c r="S51" s="67">
        <f>R50*J50+S50*M50</f>
        <v>373.97731070959674</v>
      </c>
      <c r="T51" s="67">
        <f>S50*N50+T50*P50</f>
        <v>310.48343322845324</v>
      </c>
      <c r="U51" s="67">
        <f>U50+R50*K50+S50*O50+T50*Q50</f>
        <v>45340.97714152979</v>
      </c>
      <c r="V51" s="67">
        <f>R51+S51+T51</f>
        <v>54659.02285847029</v>
      </c>
      <c r="W51" s="67">
        <f>R51*J51</f>
        <v>121.76661213038473</v>
      </c>
      <c r="X51" s="67">
        <f>S51*(1-D51)*H51</f>
        <v>35.15386720670208</v>
      </c>
      <c r="Y51" s="67">
        <f>S51*(1-D51)*(1-H51)*p_progression</f>
        <v>79.0962012150797</v>
      </c>
      <c r="Z51" s="67">
        <f>X51+Y51</f>
        <v>114.25006842178178</v>
      </c>
      <c r="AA51" s="67">
        <f>T51*(1-D51)*p_death_advanced</f>
        <v>72.9636068086865</v>
      </c>
      <c r="AB51" s="67">
        <f>(R51+S51)*G51</f>
        <v>0.0</v>
      </c>
      <c r="AC51" s="67">
        <f>G51*(R51*(1-screen_specificity)+S51*screen_sensitivity)</f>
        <v>0.0</v>
      </c>
      <c r="AD51" s="68">
        <f>AB51*cost_screen_test+AC51*cost_followup_test</f>
        <v>0.0</v>
      </c>
      <c r="AE51" s="68">
        <f>X51*cost_early_treatment</f>
        <v>527308.0081005312</v>
      </c>
      <c r="AF51" s="68">
        <f>T51*cost_advanced_year</f>
        <v>6209668.664569065</v>
      </c>
      <c r="AG51" s="68">
        <f>AD51+AE51+AF51</f>
        <v>6736976.672669596</v>
      </c>
      <c r="AH51" s="67">
        <f>V51</f>
        <v>54659.02285847029</v>
      </c>
      <c r="AI51" s="67">
        <f>R51*u_healthy+S51*u_early+T51*u_advanced</f>
        <v>49065.75250545783</v>
      </c>
      <c r="AJ51" s="69">
        <f>1/(1+disc_costs)^A51</f>
        <v>0.2889592240303575</v>
      </c>
      <c r="AK51" s="69">
        <f>1/(1+disc_effects)^A51</f>
        <v>0.2889592240303575</v>
      </c>
      <c r="AL51" s="68">
        <f>AG51*AJ51</f>
        <v>1946711.5516452263</v>
      </c>
      <c r="AM51" s="67">
        <f>AI51*AK51</f>
        <v>14178.001770442665</v>
      </c>
      <c r="AN51" s="67">
        <f>AH51*AK51</f>
        <v>15794.228831441149</v>
      </c>
      <c r="AO51" s="64" t="str">
        <f>IF(AND(ABS(V51+U51-cohort_size)&lt;0.000001*cohort_size,MIN(I51:Q51)&gt;=0,MAX(I51:Q51)&lt;=1),"OK","CHECK")</f>
        <v>OK</v>
      </c>
    </row>
    <row r="52">
      <c r="A52" s="63">
        <f>A51+1</f>
        <v>43.0</v>
      </c>
      <c r="B52" s="63">
        <f>start_age+A52</f>
        <v>83.0</v>
      </c>
      <c r="C52" s="64" t="str">
        <f>INDEX(age_band_label,MATCH(B52,age_band_start,1))</f>
        <v>80-84</v>
      </c>
      <c r="D52" s="65">
        <f>INDEX(p_background_death,MATCH(B52,age_band_start,1))</f>
        <v>0.06</v>
      </c>
      <c r="E52" s="65">
        <f>INDEX(p_cancer_onset,MATCH(B52,age_band_start,1))</f>
        <v>0.0024</v>
      </c>
      <c r="F52" s="63">
        <f>IF(AND($B$3="Yes",B52&gt;=$E$3,B52&lt;=$H$3),1,0)</f>
        <v>0.0</v>
      </c>
      <c r="G52" s="66">
        <f>F52*screen_participation</f>
        <v>0.0</v>
      </c>
      <c r="H52" s="65">
        <f>1-(1-p_detect_symptoms)*(1-G52*screen_sensitivity)</f>
        <v>0.09999999999999998</v>
      </c>
      <c r="I52" s="65">
        <f>1-J52-K52</f>
        <v>0.9377439999999999</v>
      </c>
      <c r="J52" s="65">
        <f>(1-D52)*E52</f>
        <v>0.0022559999999999998</v>
      </c>
      <c r="K52" s="65">
        <f>D52</f>
        <v>0.06</v>
      </c>
      <c r="L52" s="65">
        <f>(1-D52)*H52*p_cure_early</f>
        <v>0.08459999999999998</v>
      </c>
      <c r="M52" s="65">
        <f>(1-D52)*(1-H52)*(1-p_progression)</f>
        <v>0.6345</v>
      </c>
      <c r="N52" s="65">
        <f>(1-D52)*(H52*(1-p_cure_early)+(1-H52)*p_progression)</f>
        <v>0.22089999999999999</v>
      </c>
      <c r="O52" s="65">
        <f>D52</f>
        <v>0.06</v>
      </c>
      <c r="P52" s="65">
        <f>1-Q52</f>
        <v>0.705</v>
      </c>
      <c r="Q52" s="65">
        <f>1-(1-D52)*(1-p_death_advanced)</f>
        <v>0.29500000000000004</v>
      </c>
      <c r="R52" s="67">
        <f>R51*I51+S51*L51</f>
        <v>50645.960256015955</v>
      </c>
      <c r="S52" s="67">
        <f>R51*J51+S51*M51</f>
        <v>359.0552157756238</v>
      </c>
      <c r="T52" s="67">
        <f>S51*N51+T51*P51</f>
        <v>301.50240836180944</v>
      </c>
      <c r="U52" s="67">
        <f>U51+R51*K51+S51*O51+T51*Q51</f>
        <v>48693.48211984669</v>
      </c>
      <c r="V52" s="67">
        <f>R52+S52+T52</f>
        <v>51306.51788015339</v>
      </c>
      <c r="W52" s="67">
        <f>R52*J52</f>
        <v>114.25728633757198</v>
      </c>
      <c r="X52" s="67">
        <f>S52*(1-D52)*H52</f>
        <v>33.75119028290863</v>
      </c>
      <c r="Y52" s="67">
        <f>S52*(1-D52)*(1-H52)*p_progression</f>
        <v>75.94017813654443</v>
      </c>
      <c r="Z52" s="67">
        <f>X52+Y52</f>
        <v>109.69136841945306</v>
      </c>
      <c r="AA52" s="67">
        <f>T52*(1-D52)*p_death_advanced</f>
        <v>70.85306596502521</v>
      </c>
      <c r="AB52" s="67">
        <f>(R52+S52)*G52</f>
        <v>0.0</v>
      </c>
      <c r="AC52" s="67">
        <f>G52*(R52*(1-screen_specificity)+S52*screen_sensitivity)</f>
        <v>0.0</v>
      </c>
      <c r="AD52" s="68">
        <f>AB52*cost_screen_test+AC52*cost_followup_test</f>
        <v>0.0</v>
      </c>
      <c r="AE52" s="68">
        <f>X52*cost_early_treatment</f>
        <v>506267.85424362944</v>
      </c>
      <c r="AF52" s="68">
        <f>T52*cost_advanced_year</f>
        <v>6030048.167236188</v>
      </c>
      <c r="AG52" s="68">
        <f>AD52+AE52+AF52</f>
        <v>6536316.021479818</v>
      </c>
      <c r="AH52" s="67">
        <f>V52</f>
        <v>51306.51788015339</v>
      </c>
      <c r="AI52" s="67">
        <f>R52*u_healthy+S52*u_early+T52*u_advanced</f>
        <v>46052.38748842263</v>
      </c>
      <c r="AJ52" s="69">
        <f>1/(1+disc_costs)^A52</f>
        <v>0.2805429359518034</v>
      </c>
      <c r="AK52" s="69">
        <f>1/(1+disc_effects)^A52</f>
        <v>0.2805429359518034</v>
      </c>
      <c r="AL52" s="68">
        <f>AG52*AJ52</f>
        <v>1833717.286974759</v>
      </c>
      <c r="AM52" s="67">
        <f>AI52*AK52</f>
        <v>12919.671993592183</v>
      </c>
      <c r="AN52" s="67">
        <f>AH52*AK52</f>
        <v>14393.68115956193</v>
      </c>
      <c r="AO52" s="64" t="str">
        <f>IF(AND(ABS(V52+U52-cohort_size)&lt;0.000001*cohort_size,MIN(I52:Q52)&gt;=0,MAX(I52:Q52)&lt;=1),"OK","CHECK")</f>
        <v>OK</v>
      </c>
    </row>
    <row r="53">
      <c r="A53" s="63">
        <f>A52+1</f>
        <v>44.0</v>
      </c>
      <c r="B53" s="63">
        <f>start_age+A53</f>
        <v>84.0</v>
      </c>
      <c r="C53" s="64" t="str">
        <f>INDEX(age_band_label,MATCH(B53,age_band_start,1))</f>
        <v>80-84</v>
      </c>
      <c r="D53" s="65">
        <f>INDEX(p_background_death,MATCH(B53,age_band_start,1))</f>
        <v>0.06</v>
      </c>
      <c r="E53" s="65">
        <f>INDEX(p_cancer_onset,MATCH(B53,age_band_start,1))</f>
        <v>0.0024</v>
      </c>
      <c r="F53" s="63">
        <f>IF(AND($B$3="Yes",B53&gt;=$E$3,B53&lt;=$H$3),1,0)</f>
        <v>0.0</v>
      </c>
      <c r="G53" s="66">
        <f>F53*screen_participation</f>
        <v>0.0</v>
      </c>
      <c r="H53" s="65">
        <f>1-(1-p_detect_symptoms)*(1-G53*screen_sensitivity)</f>
        <v>0.09999999999999998</v>
      </c>
      <c r="I53" s="65">
        <f>1-J53-K53</f>
        <v>0.9377439999999999</v>
      </c>
      <c r="J53" s="65">
        <f>(1-D53)*E53</f>
        <v>0.0022559999999999998</v>
      </c>
      <c r="K53" s="65">
        <f>D53</f>
        <v>0.06</v>
      </c>
      <c r="L53" s="65">
        <f>(1-D53)*H53*p_cure_early</f>
        <v>0.08459999999999998</v>
      </c>
      <c r="M53" s="65">
        <f>(1-D53)*(1-H53)*(1-p_progression)</f>
        <v>0.6345</v>
      </c>
      <c r="N53" s="65">
        <f>(1-D53)*(H53*(1-p_cure_early)+(1-H53)*p_progression)</f>
        <v>0.22089999999999999</v>
      </c>
      <c r="O53" s="65">
        <f>D53</f>
        <v>0.06</v>
      </c>
      <c r="P53" s="65">
        <f>1-Q53</f>
        <v>0.705</v>
      </c>
      <c r="Q53" s="65">
        <f>1-(1-D53)*(1-p_death_advanced)</f>
        <v>0.29500000000000004</v>
      </c>
      <c r="R53" s="67">
        <f>R52*I52+S52*L52</f>
        <v>47523.321425572045</v>
      </c>
      <c r="S53" s="67">
        <f>R52*J52+S52*M52</f>
        <v>342.0778207472053</v>
      </c>
      <c r="T53" s="67">
        <f>S52*N52+T52*P52</f>
        <v>291.87449505991094</v>
      </c>
      <c r="U53" s="67">
        <f>U52+R52*K52+S52*O52+T52*Q52</f>
        <v>51842.72625862092</v>
      </c>
      <c r="V53" s="67">
        <f>R53+S53+T53</f>
        <v>48157.27374137916</v>
      </c>
      <c r="W53" s="67">
        <f>R53*J53</f>
        <v>107.21261313609052</v>
      </c>
      <c r="X53" s="67">
        <f>S53*(1-D53)*H53</f>
        <v>32.155315150237286</v>
      </c>
      <c r="Y53" s="67">
        <f>S53*(1-D53)*(1-H53)*p_progression</f>
        <v>72.34945908803391</v>
      </c>
      <c r="Z53" s="67">
        <f>X53+Y53</f>
        <v>104.5047742382712</v>
      </c>
      <c r="AA53" s="67">
        <f>T53*(1-D53)*p_death_advanced</f>
        <v>68.59050633907907</v>
      </c>
      <c r="AB53" s="67">
        <f>(R53+S53)*G53</f>
        <v>0.0</v>
      </c>
      <c r="AC53" s="67">
        <f>G53*(R53*(1-screen_specificity)+S53*screen_sensitivity)</f>
        <v>0.0</v>
      </c>
      <c r="AD53" s="68">
        <f>AB53*cost_screen_test+AC53*cost_followup_test</f>
        <v>0.0</v>
      </c>
      <c r="AE53" s="68">
        <f>X53*cost_early_treatment</f>
        <v>482329.7272535593</v>
      </c>
      <c r="AF53" s="68">
        <f>T53*cost_advanced_year</f>
        <v>5837489.901198219</v>
      </c>
      <c r="AG53" s="68">
        <f>AD53+AE53+AF53</f>
        <v>6319819.628451778</v>
      </c>
      <c r="AH53" s="67">
        <f>V53</f>
        <v>48157.27374137916</v>
      </c>
      <c r="AI53" s="67">
        <f>R53*u_healthy+S53*u_early+T53*u_advanced</f>
        <v>43222.286402932914</v>
      </c>
      <c r="AJ53" s="69">
        <f>1/(1+disc_costs)^A53</f>
        <v>0.272371782477479</v>
      </c>
      <c r="AK53" s="69">
        <f>1/(1+disc_effects)^A53</f>
        <v>0.272371782477479</v>
      </c>
      <c r="AL53" s="68">
        <f>AG53*AJ53</f>
        <v>1721340.5371375699</v>
      </c>
      <c r="AM53" s="67">
        <f>AI53*AK53</f>
        <v>11772.531190318941</v>
      </c>
      <c r="AN53" s="67">
        <f>AH53*AK53</f>
        <v>13116.682488195336</v>
      </c>
      <c r="AO53" s="64" t="str">
        <f>IF(AND(ABS(V53+U53-cohort_size)&lt;0.000001*cohort_size,MIN(I53:Q53)&gt;=0,MAX(I53:Q53)&lt;=1),"OK","CHECK")</f>
        <v>OK</v>
      </c>
    </row>
    <row r="54">
      <c r="A54" s="63">
        <f>A53+1</f>
        <v>45.0</v>
      </c>
      <c r="B54" s="63">
        <f>start_age+A54</f>
        <v>85.0</v>
      </c>
      <c r="C54" s="64" t="str">
        <f>INDEX(age_band_label,MATCH(B54,age_band_start,1))</f>
        <v>85-89</v>
      </c>
      <c r="D54" s="65">
        <f>INDEX(p_background_death,MATCH(B54,age_band_start,1))</f>
        <v>0.105</v>
      </c>
      <c r="E54" s="65">
        <f>INDEX(p_cancer_onset,MATCH(B54,age_band_start,1))</f>
        <v>0.0024</v>
      </c>
      <c r="F54" s="63">
        <f>IF(AND($B$3="Yes",B54&gt;=$E$3,B54&lt;=$H$3),1,0)</f>
        <v>0.0</v>
      </c>
      <c r="G54" s="66">
        <f>F54*screen_participation</f>
        <v>0.0</v>
      </c>
      <c r="H54" s="65">
        <f>1-(1-p_detect_symptoms)*(1-G54*screen_sensitivity)</f>
        <v>0.09999999999999998</v>
      </c>
      <c r="I54" s="65">
        <f>1-J54-K54</f>
        <v>0.892852</v>
      </c>
      <c r="J54" s="65">
        <f>(1-D54)*E54</f>
        <v>0.0021479999999999997</v>
      </c>
      <c r="K54" s="65">
        <f>D54</f>
        <v>0.105</v>
      </c>
      <c r="L54" s="65">
        <f>(1-D54)*H54*p_cure_early</f>
        <v>0.08054999999999998</v>
      </c>
      <c r="M54" s="65">
        <f>(1-D54)*(1-H54)*(1-p_progression)</f>
        <v>0.604125</v>
      </c>
      <c r="N54" s="65">
        <f>(1-D54)*(H54*(1-p_cure_early)+(1-H54)*p_progression)</f>
        <v>0.21032499999999998</v>
      </c>
      <c r="O54" s="65">
        <f>D54</f>
        <v>0.105</v>
      </c>
      <c r="P54" s="65">
        <f>1-Q54</f>
        <v>0.67125</v>
      </c>
      <c r="Q54" s="65">
        <f>1-(1-D54)*(1-p_death_advanced)</f>
        <v>0.32875</v>
      </c>
      <c r="R54" s="67">
        <f>R53*I53+S53*L53</f>
        <v>44593.64931053684</v>
      </c>
      <c r="S54" s="67">
        <f>R53*J53+S53*M53</f>
        <v>324.26099040019227</v>
      </c>
      <c r="T54" s="67">
        <f>S53*N53+T53*P53</f>
        <v>281.33650962029486</v>
      </c>
      <c r="U54" s="67">
        <f>U53+R53*K53+S53*O53+T53*Q53</f>
        <v>54800.75318944275</v>
      </c>
      <c r="V54" s="67">
        <f>R54+S54+T54</f>
        <v>45199.246810557335</v>
      </c>
      <c r="W54" s="67">
        <f>R54*J54</f>
        <v>95.78715871903313</v>
      </c>
      <c r="X54" s="67">
        <f>S54*(1-D54)*H54</f>
        <v>29.0213586408172</v>
      </c>
      <c r="Y54" s="67">
        <f>S54*(1-D54)*(1-H54)*p_progression</f>
        <v>65.29805694183872</v>
      </c>
      <c r="Z54" s="67">
        <f>X54+Y54</f>
        <v>94.31941558265592</v>
      </c>
      <c r="AA54" s="67">
        <f>T54*(1-D54)*p_death_advanced</f>
        <v>62.94904402754098</v>
      </c>
      <c r="AB54" s="67">
        <f>(R54+S54)*G54</f>
        <v>0.0</v>
      </c>
      <c r="AC54" s="67">
        <f>G54*(R54*(1-screen_specificity)+S54*screen_sensitivity)</f>
        <v>0.0</v>
      </c>
      <c r="AD54" s="68">
        <f>AB54*cost_screen_test+AC54*cost_followup_test</f>
        <v>0.0</v>
      </c>
      <c r="AE54" s="68">
        <f>X54*cost_early_treatment</f>
        <v>435320.379612258</v>
      </c>
      <c r="AF54" s="68">
        <f>T54*cost_advanced_year</f>
        <v>5626730.192405897</v>
      </c>
      <c r="AG54" s="68">
        <f>AD54+AE54+AF54</f>
        <v>6062050.572018155</v>
      </c>
      <c r="AH54" s="67">
        <f>V54</f>
        <v>45199.246810557335</v>
      </c>
      <c r="AI54" s="67">
        <f>R54*u_healthy+S54*u_early+T54*u_advanced</f>
        <v>40564.64130161448</v>
      </c>
      <c r="AJ54" s="69">
        <f>1/(1+disc_costs)^A54</f>
        <v>0.26443862376454275</v>
      </c>
      <c r="AK54" s="69">
        <f>1/(1+disc_effects)^A54</f>
        <v>0.26443862376454275</v>
      </c>
      <c r="AL54" s="68">
        <f>AG54*AJ54</f>
        <v>1603040.31045554</v>
      </c>
      <c r="AM54" s="67">
        <f>AI54*AK54</f>
        <v>10726.857919301263</v>
      </c>
      <c r="AN54" s="67">
        <f>AH54*AK54</f>
        <v>11952.42662177768</v>
      </c>
      <c r="AO54" s="64" t="str">
        <f>IF(AND(ABS(V54+U54-cohort_size)&lt;0.000001*cohort_size,MIN(I54:Q54)&gt;=0,MAX(I54:Q54)&lt;=1),"OK","CHECK")</f>
        <v>OK</v>
      </c>
    </row>
    <row r="55">
      <c r="A55" s="63">
        <f>A54+1</f>
        <v>46.0</v>
      </c>
      <c r="B55" s="63">
        <f>start_age+A55</f>
        <v>86.0</v>
      </c>
      <c r="C55" s="64" t="str">
        <f>INDEX(age_band_label,MATCH(B55,age_band_start,1))</f>
        <v>85-89</v>
      </c>
      <c r="D55" s="65">
        <f>INDEX(p_background_death,MATCH(B55,age_band_start,1))</f>
        <v>0.105</v>
      </c>
      <c r="E55" s="65">
        <f>INDEX(p_cancer_onset,MATCH(B55,age_band_start,1))</f>
        <v>0.0024</v>
      </c>
      <c r="F55" s="63">
        <f>IF(AND($B$3="Yes",B55&gt;=$E$3,B55&lt;=$H$3),1,0)</f>
        <v>0.0</v>
      </c>
      <c r="G55" s="66">
        <f>F55*screen_participation</f>
        <v>0.0</v>
      </c>
      <c r="H55" s="65">
        <f>1-(1-p_detect_symptoms)*(1-G55*screen_sensitivity)</f>
        <v>0.09999999999999998</v>
      </c>
      <c r="I55" s="65">
        <f>1-J55-K55</f>
        <v>0.892852</v>
      </c>
      <c r="J55" s="65">
        <f>(1-D55)*E55</f>
        <v>0.0021479999999999997</v>
      </c>
      <c r="K55" s="65">
        <f>D55</f>
        <v>0.105</v>
      </c>
      <c r="L55" s="65">
        <f>(1-D55)*H55*p_cure_early</f>
        <v>0.08054999999999998</v>
      </c>
      <c r="M55" s="65">
        <f>(1-D55)*(1-H55)*(1-p_progression)</f>
        <v>0.604125</v>
      </c>
      <c r="N55" s="65">
        <f>(1-D55)*(H55*(1-p_cure_early)+(1-H55)*p_progression)</f>
        <v>0.21032499999999998</v>
      </c>
      <c r="O55" s="65">
        <f>D55</f>
        <v>0.105</v>
      </c>
      <c r="P55" s="65">
        <f>1-Q55</f>
        <v>0.67125</v>
      </c>
      <c r="Q55" s="65">
        <f>1-(1-D55)*(1-p_death_advanced)</f>
        <v>0.32875</v>
      </c>
      <c r="R55" s="67">
        <f>R54*I54+S54*L54</f>
        <v>39841.64819698818</v>
      </c>
      <c r="S55" s="67">
        <f>R54*J54+S54*M54</f>
        <v>291.68132954454927</v>
      </c>
      <c r="T55" s="67">
        <f>S54*N54+T54*P54</f>
        <v>257.04732488854336</v>
      </c>
      <c r="U55" s="67">
        <f>U54+R54*K54+S54*O54+T54*Q54</f>
        <v>59609.623148578816</v>
      </c>
      <c r="V55" s="67">
        <f>R55+S55+T55</f>
        <v>40390.37685142127</v>
      </c>
      <c r="W55" s="67">
        <f>R55*J55</f>
        <v>85.5798603271306</v>
      </c>
      <c r="X55" s="67">
        <f>S55*(1-D55)*H55</f>
        <v>26.105478994237153</v>
      </c>
      <c r="Y55" s="67">
        <f>S55*(1-D55)*(1-H55)*p_progression</f>
        <v>58.73732773703361</v>
      </c>
      <c r="Z55" s="67">
        <f>X55+Y55</f>
        <v>84.84280673127077</v>
      </c>
      <c r="AA55" s="67">
        <f>T55*(1-D55)*p_death_advanced</f>
        <v>57.51433894381158</v>
      </c>
      <c r="AB55" s="67">
        <f>(R55+S55)*G55</f>
        <v>0.0</v>
      </c>
      <c r="AC55" s="67">
        <f>G55*(R55*(1-screen_specificity)+S55*screen_sensitivity)</f>
        <v>0.0</v>
      </c>
      <c r="AD55" s="68">
        <f>AB55*cost_screen_test+AC55*cost_followup_test</f>
        <v>0.0</v>
      </c>
      <c r="AE55" s="68">
        <f>X55*cost_early_treatment</f>
        <v>391582.1849135573</v>
      </c>
      <c r="AF55" s="68">
        <f>T55*cost_advanced_year</f>
        <v>5140946.497770867</v>
      </c>
      <c r="AG55" s="68">
        <f>AD55+AE55+AF55</f>
        <v>5532528.682684424</v>
      </c>
      <c r="AH55" s="67">
        <f>V55</f>
        <v>40390.37685142127</v>
      </c>
      <c r="AI55" s="67">
        <f>R55*u_healthy+S55*u_early+T55*u_advanced</f>
        <v>36246.78853609093</v>
      </c>
      <c r="AJ55" s="69">
        <f>1/(1+disc_costs)^A55</f>
        <v>0.2567365279267405</v>
      </c>
      <c r="AK55" s="69">
        <f>1/(1+disc_effects)^A55</f>
        <v>0.2567365279267405</v>
      </c>
      <c r="AL55" s="68">
        <f>AG55*AJ55</f>
        <v>1420402.2046475026</v>
      </c>
      <c r="AM55" s="67">
        <f>AI55*AK55</f>
        <v>9305.874637250767</v>
      </c>
      <c r="AN55" s="67">
        <f>AH55*AK55</f>
        <v>10369.68511448649</v>
      </c>
      <c r="AO55" s="64" t="str">
        <f>IF(AND(ABS(V55+U55-cohort_size)&lt;0.000001*cohort_size,MIN(I55:Q55)&gt;=0,MAX(I55:Q55)&lt;=1),"OK","CHECK")</f>
        <v>OK</v>
      </c>
    </row>
    <row r="56">
      <c r="A56" s="63">
        <f>A55+1</f>
        <v>47.0</v>
      </c>
      <c r="B56" s="63">
        <f>start_age+A56</f>
        <v>87.0</v>
      </c>
      <c r="C56" s="64" t="str">
        <f>INDEX(age_band_label,MATCH(B56,age_band_start,1))</f>
        <v>85-89</v>
      </c>
      <c r="D56" s="65">
        <f>INDEX(p_background_death,MATCH(B56,age_band_start,1))</f>
        <v>0.105</v>
      </c>
      <c r="E56" s="65">
        <f>INDEX(p_cancer_onset,MATCH(B56,age_band_start,1))</f>
        <v>0.0024</v>
      </c>
      <c r="F56" s="63">
        <f>IF(AND($B$3="Yes",B56&gt;=$E$3,B56&lt;=$H$3),1,0)</f>
        <v>0.0</v>
      </c>
      <c r="G56" s="66">
        <f>F56*screen_participation</f>
        <v>0.0</v>
      </c>
      <c r="H56" s="65">
        <f>1-(1-p_detect_symptoms)*(1-G56*screen_sensitivity)</f>
        <v>0.09999999999999998</v>
      </c>
      <c r="I56" s="65">
        <f>1-J56-K56</f>
        <v>0.892852</v>
      </c>
      <c r="J56" s="65">
        <f>(1-D56)*E56</f>
        <v>0.0021479999999999997</v>
      </c>
      <c r="K56" s="65">
        <f>D56</f>
        <v>0.105</v>
      </c>
      <c r="L56" s="65">
        <f>(1-D56)*H56*p_cure_early</f>
        <v>0.08054999999999998</v>
      </c>
      <c r="M56" s="65">
        <f>(1-D56)*(1-H56)*(1-p_progression)</f>
        <v>0.604125</v>
      </c>
      <c r="N56" s="65">
        <f>(1-D56)*(H56*(1-p_cure_early)+(1-H56)*p_progression)</f>
        <v>0.21032499999999998</v>
      </c>
      <c r="O56" s="65">
        <f>D56</f>
        <v>0.105</v>
      </c>
      <c r="P56" s="65">
        <f>1-Q56</f>
        <v>0.67125</v>
      </c>
      <c r="Q56" s="65">
        <f>1-(1-D56)*(1-p_death_advanced)</f>
        <v>0.32875</v>
      </c>
      <c r="R56" s="67">
        <f>R55*I55+S55*L55</f>
        <v>35596.190207072104</v>
      </c>
      <c r="S56" s="67">
        <f>R55*J55+S55*M55</f>
        <v>261.79184353823143</v>
      </c>
      <c r="T56" s="67">
        <f>S55*N55+T55*P55</f>
        <v>233.89089246789206</v>
      </c>
      <c r="U56" s="67">
        <f>U55+R55*K55+S55*O55+T55*Q55</f>
        <v>63908.12705692186</v>
      </c>
      <c r="V56" s="67">
        <f>R56+S56+T56</f>
        <v>36091.872943078226</v>
      </c>
      <c r="W56" s="67">
        <f>R56*J56</f>
        <v>76.46061656479087</v>
      </c>
      <c r="X56" s="67">
        <f>S56*(1-D56)*H56</f>
        <v>23.43036999667171</v>
      </c>
      <c r="Y56" s="67">
        <f>S56*(1-D56)*(1-H56)*p_progression</f>
        <v>52.71833249251136</v>
      </c>
      <c r="Z56" s="67">
        <f>X56+Y56</f>
        <v>76.14870248918307</v>
      </c>
      <c r="AA56" s="67">
        <f>T56*(1-D56)*p_death_advanced</f>
        <v>52.33308718969085</v>
      </c>
      <c r="AB56" s="67">
        <f>(R56+S56)*G56</f>
        <v>0.0</v>
      </c>
      <c r="AC56" s="67">
        <f>G56*(R56*(1-screen_specificity)+S56*screen_sensitivity)</f>
        <v>0.0</v>
      </c>
      <c r="AD56" s="68">
        <f>AB56*cost_screen_test+AC56*cost_followup_test</f>
        <v>0.0</v>
      </c>
      <c r="AE56" s="68">
        <f>X56*cost_early_treatment</f>
        <v>351455.5499500757</v>
      </c>
      <c r="AF56" s="68">
        <f>T56*cost_advanced_year</f>
        <v>4677817.849357842</v>
      </c>
      <c r="AG56" s="68">
        <f>AD56+AE56+AF56</f>
        <v>5029273.399307917</v>
      </c>
      <c r="AH56" s="67">
        <f>V56</f>
        <v>36091.872943078226</v>
      </c>
      <c r="AI56" s="67">
        <f>R56*u_healthy+S56*u_early+T56*u_advanced</f>
        <v>32387.73424422973</v>
      </c>
      <c r="AJ56" s="69">
        <f>1/(1+disc_costs)^A56</f>
        <v>0.249258764977418</v>
      </c>
      <c r="AK56" s="69">
        <f>1/(1+disc_effects)^A56</f>
        <v>0.249258764977418</v>
      </c>
      <c r="AL56" s="68">
        <f>AG56*AJ56</f>
        <v>1253590.4762452722</v>
      </c>
      <c r="AM56" s="67">
        <f>AI56*AK56</f>
        <v>8072.926638133531</v>
      </c>
      <c r="AN56" s="67">
        <f>AH56*AK56</f>
        <v>8996.215675513567</v>
      </c>
      <c r="AO56" s="64" t="str">
        <f>IF(AND(ABS(V56+U56-cohort_size)&lt;0.000001*cohort_size,MIN(I56:Q56)&gt;=0,MAX(I56:Q56)&lt;=1),"OK","CHECK")</f>
        <v>OK</v>
      </c>
    </row>
    <row r="57">
      <c r="A57" s="63">
        <f>A56+1</f>
        <v>48.0</v>
      </c>
      <c r="B57" s="63">
        <f>start_age+A57</f>
        <v>88.0</v>
      </c>
      <c r="C57" s="64" t="str">
        <f>INDEX(age_band_label,MATCH(B57,age_band_start,1))</f>
        <v>85-89</v>
      </c>
      <c r="D57" s="65">
        <f>INDEX(p_background_death,MATCH(B57,age_band_start,1))</f>
        <v>0.105</v>
      </c>
      <c r="E57" s="65">
        <f>INDEX(p_cancer_onset,MATCH(B57,age_band_start,1))</f>
        <v>0.0024</v>
      </c>
      <c r="F57" s="63">
        <f>IF(AND($B$3="Yes",B57&gt;=$E$3,B57&lt;=$H$3),1,0)</f>
        <v>0.0</v>
      </c>
      <c r="G57" s="66">
        <f>F57*screen_participation</f>
        <v>0.0</v>
      </c>
      <c r="H57" s="65">
        <f>1-(1-p_detect_symptoms)*(1-G57*screen_sensitivity)</f>
        <v>0.09999999999999998</v>
      </c>
      <c r="I57" s="65">
        <f>1-J57-K57</f>
        <v>0.892852</v>
      </c>
      <c r="J57" s="65">
        <f>(1-D57)*E57</f>
        <v>0.0021479999999999997</v>
      </c>
      <c r="K57" s="65">
        <f>D57</f>
        <v>0.105</v>
      </c>
      <c r="L57" s="65">
        <f>(1-D57)*H57*p_cure_early</f>
        <v>0.08054999999999998</v>
      </c>
      <c r="M57" s="65">
        <f>(1-D57)*(1-H57)*(1-p_progression)</f>
        <v>0.604125</v>
      </c>
      <c r="N57" s="65">
        <f>(1-D57)*(H57*(1-p_cure_early)+(1-H57)*p_progression)</f>
        <v>0.21032499999999998</v>
      </c>
      <c r="O57" s="65">
        <f>D57</f>
        <v>0.105</v>
      </c>
      <c r="P57" s="65">
        <f>1-Q57</f>
        <v>0.67125</v>
      </c>
      <c r="Q57" s="65">
        <f>1-(1-D57)*(1-p_death_advanced)</f>
        <v>0.32875</v>
      </c>
      <c r="R57" s="67">
        <f>R56*I56+S56*L56</f>
        <v>31803.216951761748</v>
      </c>
      <c r="S57" s="67">
        <f>R56*J56+S56*M56</f>
        <v>234.61561404232492</v>
      </c>
      <c r="T57" s="67">
        <f>S56*N56+T56*P56</f>
        <v>212.0606310612511</v>
      </c>
      <c r="U57" s="67">
        <f>U56+R56*K56+S56*O56+T56*Q56</f>
        <v>67750.10680313478</v>
      </c>
      <c r="V57" s="67">
        <f>R57+S57+T57</f>
        <v>32249.893196865323</v>
      </c>
      <c r="W57" s="67">
        <f>R57*J57</f>
        <v>68.31331001238422</v>
      </c>
      <c r="X57" s="67">
        <f>S57*(1-D57)*H57</f>
        <v>20.998097456788077</v>
      </c>
      <c r="Y57" s="67">
        <f>S57*(1-D57)*(1-H57)*p_progression</f>
        <v>47.24571927777318</v>
      </c>
      <c r="Z57" s="67">
        <f>X57+Y57</f>
        <v>68.24381673456126</v>
      </c>
      <c r="AA57" s="67">
        <f>T57*(1-D57)*p_death_advanced</f>
        <v>47.44856619995493</v>
      </c>
      <c r="AB57" s="67">
        <f>(R57+S57)*G57</f>
        <v>0.0</v>
      </c>
      <c r="AC57" s="67">
        <f>G57*(R57*(1-screen_specificity)+S57*screen_sensitivity)</f>
        <v>0.0</v>
      </c>
      <c r="AD57" s="68">
        <f>AB57*cost_screen_test+AC57*cost_followup_test</f>
        <v>0.0</v>
      </c>
      <c r="AE57" s="68">
        <f>X57*cost_early_treatment</f>
        <v>314971.46185182116</v>
      </c>
      <c r="AF57" s="68">
        <f>T57*cost_advanced_year</f>
        <v>4241212.621225022</v>
      </c>
      <c r="AG57" s="68">
        <f>AD57+AE57+AF57</f>
        <v>4556184.083076843</v>
      </c>
      <c r="AH57" s="67">
        <f>V57</f>
        <v>32249.893196865323</v>
      </c>
      <c r="AI57" s="67">
        <f>R57*u_healthy+S57*u_early+T57*u_advanced</f>
        <v>28938.951875605235</v>
      </c>
      <c r="AJ57" s="69">
        <f>1/(1+disc_costs)^A57</f>
        <v>0.2419988009489495</v>
      </c>
      <c r="AK57" s="69">
        <f>1/(1+disc_effects)^A57</f>
        <v>0.2419988009489495</v>
      </c>
      <c r="AL57" s="68">
        <f>AG57*AJ57</f>
        <v>1102591.0850072848</v>
      </c>
      <c r="AM57" s="67">
        <f>AI57*AK57</f>
        <v>7003.19165461582</v>
      </c>
      <c r="AN57" s="67">
        <f>AH57*AK57</f>
        <v>7804.435484373092</v>
      </c>
      <c r="AO57" s="64" t="str">
        <f>IF(AND(ABS(V57+U57-cohort_size)&lt;0.000001*cohort_size,MIN(I57:Q57)&gt;=0,MAX(I57:Q57)&lt;=1),"OK","CHECK")</f>
        <v>OK</v>
      </c>
    </row>
    <row r="58">
      <c r="A58" s="63">
        <f>A57+1</f>
        <v>49.0</v>
      </c>
      <c r="B58" s="63">
        <f>start_age+A58</f>
        <v>89.0</v>
      </c>
      <c r="C58" s="64" t="str">
        <f>INDEX(age_band_label,MATCH(B58,age_band_start,1))</f>
        <v>85-89</v>
      </c>
      <c r="D58" s="65">
        <f>INDEX(p_background_death,MATCH(B58,age_band_start,1))</f>
        <v>0.105</v>
      </c>
      <c r="E58" s="65">
        <f>INDEX(p_cancer_onset,MATCH(B58,age_band_start,1))</f>
        <v>0.0024</v>
      </c>
      <c r="F58" s="63">
        <f>IF(AND($B$3="Yes",B58&gt;=$E$3,B58&lt;=$H$3),1,0)</f>
        <v>0.0</v>
      </c>
      <c r="G58" s="66">
        <f>F58*screen_participation</f>
        <v>0.0</v>
      </c>
      <c r="H58" s="65">
        <f>1-(1-p_detect_symptoms)*(1-G58*screen_sensitivity)</f>
        <v>0.09999999999999998</v>
      </c>
      <c r="I58" s="65">
        <f>1-J58-K58</f>
        <v>0.892852</v>
      </c>
      <c r="J58" s="65">
        <f>(1-D58)*E58</f>
        <v>0.0021479999999999997</v>
      </c>
      <c r="K58" s="65">
        <f>D58</f>
        <v>0.105</v>
      </c>
      <c r="L58" s="65">
        <f>(1-D58)*H58*p_cure_early</f>
        <v>0.08054999999999998</v>
      </c>
      <c r="M58" s="65">
        <f>(1-D58)*(1-H58)*(1-p_progression)</f>
        <v>0.604125</v>
      </c>
      <c r="N58" s="65">
        <f>(1-D58)*(H58*(1-p_cure_early)+(1-H58)*p_progression)</f>
        <v>0.21032499999999998</v>
      </c>
      <c r="O58" s="65">
        <f>D58</f>
        <v>0.105</v>
      </c>
      <c r="P58" s="65">
        <f>1-Q58</f>
        <v>0.67125</v>
      </c>
      <c r="Q58" s="65">
        <f>1-(1-D58)*(1-p_death_advanced)</f>
        <v>0.32875</v>
      </c>
      <c r="R58" s="67">
        <f>R57*I57+S57*L57</f>
        <v>28414.464149525487</v>
      </c>
      <c r="S58" s="67">
        <f>R57*J57+S57*M57</f>
        <v>210.05046784570376</v>
      </c>
      <c r="T58" s="67">
        <f>S57*N57+T57*P57</f>
        <v>191.69122762331676</v>
      </c>
      <c r="U58" s="67">
        <f>U57+R57*K57+S57*O57+T57*Q57</f>
        <v>71183.7941550056</v>
      </c>
      <c r="V58" s="67">
        <f>R58+S58+T58</f>
        <v>28816.205844994507</v>
      </c>
      <c r="W58" s="67">
        <f>R58*J58</f>
        <v>61.03426899318074</v>
      </c>
      <c r="X58" s="67">
        <f>S58*(1-D58)*H58</f>
        <v>18.79951687219048</v>
      </c>
      <c r="Y58" s="67">
        <f>S58*(1-D58)*(1-H58)*p_progression</f>
        <v>42.298912962428595</v>
      </c>
      <c r="Z58" s="67">
        <f>X58+Y58</f>
        <v>61.098429834619076</v>
      </c>
      <c r="AA58" s="67">
        <f>T58*(1-D58)*p_death_advanced</f>
        <v>42.89091218071712</v>
      </c>
      <c r="AB58" s="67">
        <f>(R58+S58)*G58</f>
        <v>0.0</v>
      </c>
      <c r="AC58" s="67">
        <f>G58*(R58*(1-screen_specificity)+S58*screen_sensitivity)</f>
        <v>0.0</v>
      </c>
      <c r="AD58" s="68">
        <f>AB58*cost_screen_test+AC58*cost_followup_test</f>
        <v>0.0</v>
      </c>
      <c r="AE58" s="68">
        <f>X58*cost_early_treatment</f>
        <v>281992.75308285723</v>
      </c>
      <c r="AF58" s="68">
        <f>T58*cost_advanced_year</f>
        <v>3833824.5524663352</v>
      </c>
      <c r="AG58" s="68">
        <f>AD58+AE58+AF58</f>
        <v>4115817.3055491922</v>
      </c>
      <c r="AH58" s="67">
        <f>V58</f>
        <v>28816.205844994507</v>
      </c>
      <c r="AI58" s="67">
        <f>R58*u_healthy+S58*u_early+T58*u_advanced</f>
        <v>25856.990807434613</v>
      </c>
      <c r="AJ58" s="69">
        <f>1/(1+disc_costs)^A58</f>
        <v>0.2349502921834461</v>
      </c>
      <c r="AK58" s="69">
        <f>1/(1+disc_effects)^A58</f>
        <v>0.2349502921834461</v>
      </c>
      <c r="AL58" s="68">
        <f>AG58*AJ58</f>
        <v>967012.4785124665</v>
      </c>
      <c r="AM58" s="67">
        <f>AI58*AK58</f>
        <v>6075.107545191442</v>
      </c>
      <c r="AN58" s="67">
        <f>AH58*AK58</f>
        <v>6770.375982899786</v>
      </c>
      <c r="AO58" s="64" t="str">
        <f>IF(AND(ABS(V58+U58-cohort_size)&lt;0.000001*cohort_size,MIN(I58:Q58)&gt;=0,MAX(I58:Q58)&lt;=1),"OK","CHECK")</f>
        <v>OK</v>
      </c>
    </row>
    <row r="59">
      <c r="A59" s="63">
        <f>A58+1</f>
        <v>50.0</v>
      </c>
      <c r="B59" s="63">
        <f>start_age+A59</f>
        <v>90.0</v>
      </c>
      <c r="C59" s="64" t="str">
        <f>INDEX(age_band_label,MATCH(B59,age_band_start,1))</f>
        <v>90-94</v>
      </c>
      <c r="D59" s="65">
        <f>INDEX(p_background_death,MATCH(B59,age_band_start,1))</f>
        <v>0.18</v>
      </c>
      <c r="E59" s="65">
        <f>INDEX(p_cancer_onset,MATCH(B59,age_band_start,1))</f>
        <v>0.0024</v>
      </c>
      <c r="F59" s="63">
        <f>IF(AND($B$3="Yes",B59&gt;=$E$3,B59&lt;=$H$3),1,0)</f>
        <v>0.0</v>
      </c>
      <c r="G59" s="66">
        <f>F59*screen_participation</f>
        <v>0.0</v>
      </c>
      <c r="H59" s="65">
        <f>1-(1-p_detect_symptoms)*(1-G59*screen_sensitivity)</f>
        <v>0.09999999999999998</v>
      </c>
      <c r="I59" s="65">
        <f>1-J59-K59</f>
        <v>0.8180320000000001</v>
      </c>
      <c r="J59" s="65">
        <f>(1-D59)*E59</f>
        <v>0.001968</v>
      </c>
      <c r="K59" s="65">
        <f>D59</f>
        <v>0.18</v>
      </c>
      <c r="L59" s="65">
        <f>(1-D59)*H59*p_cure_early</f>
        <v>0.07379999999999999</v>
      </c>
      <c r="M59" s="65">
        <f>(1-D59)*(1-H59)*(1-p_progression)</f>
        <v>0.5535000000000001</v>
      </c>
      <c r="N59" s="65">
        <f>(1-D59)*(H59*(1-p_cure_early)+(1-H59)*p_progression)</f>
        <v>0.1927</v>
      </c>
      <c r="O59" s="65">
        <f>D59</f>
        <v>0.18</v>
      </c>
      <c r="P59" s="65">
        <f>1-Q59</f>
        <v>0.615</v>
      </c>
      <c r="Q59" s="65">
        <f>1-(1-D59)*(1-p_death_advanced)</f>
        <v>0.385</v>
      </c>
      <c r="R59" s="67">
        <f>R58*I58+S58*L58</f>
        <v>25386.830710017104</v>
      </c>
      <c r="S59" s="67">
        <f>R58*J58+S58*M58</f>
        <v>187.93100788046652</v>
      </c>
      <c r="T59" s="67">
        <f>S58*N58+T58*P58</f>
        <v>172.851601191799</v>
      </c>
      <c r="U59" s="67">
        <f>U58+R58*K58+S58*O58+T58*Q58</f>
        <v>74252.38668091073</v>
      </c>
      <c r="V59" s="67">
        <f>R59+S59+T59</f>
        <v>25747.61331908937</v>
      </c>
      <c r="W59" s="67">
        <f>R59*J59</f>
        <v>49.96128283731366</v>
      </c>
      <c r="X59" s="67">
        <f>S59*(1-D59)*H59</f>
        <v>15.410342646198252</v>
      </c>
      <c r="Y59" s="67">
        <f>S59*(1-D59)*(1-H59)*p_progression</f>
        <v>34.67327095394608</v>
      </c>
      <c r="Z59" s="67">
        <f>X59+Y59</f>
        <v>50.08361360014433</v>
      </c>
      <c r="AA59" s="67">
        <f>T59*(1-D59)*p_death_advanced</f>
        <v>35.4345782443188</v>
      </c>
      <c r="AB59" s="67">
        <f>(R59+S59)*G59</f>
        <v>0.0</v>
      </c>
      <c r="AC59" s="67">
        <f>G59*(R59*(1-screen_specificity)+S59*screen_sensitivity)</f>
        <v>0.0</v>
      </c>
      <c r="AD59" s="68">
        <f>AB59*cost_screen_test+AC59*cost_followup_test</f>
        <v>0.0</v>
      </c>
      <c r="AE59" s="68">
        <f>X59*cost_early_treatment</f>
        <v>231155.13969297378</v>
      </c>
      <c r="AF59" s="68">
        <f>T59*cost_advanced_year</f>
        <v>3457032.0238359803</v>
      </c>
      <c r="AG59" s="68">
        <f>AD59+AE59+AF59</f>
        <v>3688187.163528954</v>
      </c>
      <c r="AH59" s="67">
        <f>V59</f>
        <v>25747.61331908937</v>
      </c>
      <c r="AI59" s="67">
        <f>R59*u_healthy+S59*u_early+T59*u_advanced</f>
        <v>23102.95737636928</v>
      </c>
      <c r="AJ59" s="69">
        <f>1/(1+disc_costs)^A59</f>
        <v>0.22810707978975348</v>
      </c>
      <c r="AK59" s="69">
        <f>1/(1+disc_effects)^A59</f>
        <v>0.22810707978975348</v>
      </c>
      <c r="AL59" s="68">
        <f>AG59*AJ59</f>
        <v>841301.6035906437</v>
      </c>
      <c r="AM59" s="67">
        <f>AI59*AK59</f>
        <v>5269.948141630741</v>
      </c>
      <c r="AN59" s="67">
        <f>AH59*AK59</f>
        <v>5873.212885773239</v>
      </c>
      <c r="AO59" s="64" t="str">
        <f>IF(AND(ABS(V59+U59-cohort_size)&lt;0.000001*cohort_size,MIN(I59:Q59)&gt;=0,MAX(I59:Q59)&lt;=1),"OK","CHECK")</f>
        <v>OK</v>
      </c>
    </row>
    <row r="60">
      <c r="A60" s="63">
        <f>A59+1</f>
        <v>51.0</v>
      </c>
      <c r="B60" s="63">
        <f>start_age+A60</f>
        <v>91.0</v>
      </c>
      <c r="C60" s="64" t="str">
        <f>INDEX(age_band_label,MATCH(B60,age_band_start,1))</f>
        <v>90-94</v>
      </c>
      <c r="D60" s="65">
        <f>INDEX(p_background_death,MATCH(B60,age_band_start,1))</f>
        <v>0.18</v>
      </c>
      <c r="E60" s="65">
        <f>INDEX(p_cancer_onset,MATCH(B60,age_band_start,1))</f>
        <v>0.0024</v>
      </c>
      <c r="F60" s="63">
        <f>IF(AND($B$3="Yes",B60&gt;=$E$3,B60&lt;=$H$3),1,0)</f>
        <v>0.0</v>
      </c>
      <c r="G60" s="66">
        <f>F60*screen_participation</f>
        <v>0.0</v>
      </c>
      <c r="H60" s="65">
        <f>1-(1-p_detect_symptoms)*(1-G60*screen_sensitivity)</f>
        <v>0.09999999999999998</v>
      </c>
      <c r="I60" s="65">
        <f>1-J60-K60</f>
        <v>0.8180320000000001</v>
      </c>
      <c r="J60" s="65">
        <f>(1-D60)*E60</f>
        <v>0.001968</v>
      </c>
      <c r="K60" s="65">
        <f>D60</f>
        <v>0.18</v>
      </c>
      <c r="L60" s="65">
        <f>(1-D60)*H60*p_cure_early</f>
        <v>0.07379999999999999</v>
      </c>
      <c r="M60" s="65">
        <f>(1-D60)*(1-H60)*(1-p_progression)</f>
        <v>0.5535000000000001</v>
      </c>
      <c r="N60" s="65">
        <f>(1-D60)*(H60*(1-p_cure_early)+(1-H60)*p_progression)</f>
        <v>0.1927</v>
      </c>
      <c r="O60" s="65">
        <f>D60</f>
        <v>0.18</v>
      </c>
      <c r="P60" s="65">
        <f>1-Q60</f>
        <v>0.615</v>
      </c>
      <c r="Q60" s="65">
        <f>1-(1-D60)*(1-p_death_advanced)</f>
        <v>0.385</v>
      </c>
      <c r="R60" s="67">
        <f>R59*I59+S59*L59</f>
        <v>20781.10920775829</v>
      </c>
      <c r="S60" s="67">
        <f>R59*J59+S59*M59</f>
        <v>153.98109569915192</v>
      </c>
      <c r="T60" s="67">
        <f>S59*N59+T59*P59</f>
        <v>142.5180399515223</v>
      </c>
      <c r="U60" s="67">
        <f>U59+R59*K59+S59*O59+T59*Q59</f>
        <v>78922.39165659113</v>
      </c>
      <c r="V60" s="67">
        <f>R60+S60+T60</f>
        <v>21077.608343408967</v>
      </c>
      <c r="W60" s="67">
        <f>R60*J60</f>
        <v>40.897222920868316</v>
      </c>
      <c r="X60" s="67">
        <f>S60*(1-D60)*H60</f>
        <v>12.626449847330456</v>
      </c>
      <c r="Y60" s="67">
        <f>S60*(1-D60)*(1-H60)*p_progression</f>
        <v>28.40951215649353</v>
      </c>
      <c r="Z60" s="67">
        <f>X60+Y60</f>
        <v>41.03596200382398</v>
      </c>
      <c r="AA60" s="67">
        <f>T60*(1-D60)*p_death_advanced</f>
        <v>29.216198190062073</v>
      </c>
      <c r="AB60" s="67">
        <f>(R60+S60)*G60</f>
        <v>0.0</v>
      </c>
      <c r="AC60" s="67">
        <f>G60*(R60*(1-screen_specificity)+S60*screen_sensitivity)</f>
        <v>0.0</v>
      </c>
      <c r="AD60" s="68">
        <f>AB60*cost_screen_test+AC60*cost_followup_test</f>
        <v>0.0</v>
      </c>
      <c r="AE60" s="68">
        <f>X60*cost_early_treatment</f>
        <v>189396.74770995684</v>
      </c>
      <c r="AF60" s="68">
        <f>T60*cost_advanced_year</f>
        <v>2850360.799030446</v>
      </c>
      <c r="AG60" s="68">
        <f>AD60+AE60+AF60</f>
        <v>3039757.546740403</v>
      </c>
      <c r="AH60" s="67">
        <f>V60</f>
        <v>21077.608343408967</v>
      </c>
      <c r="AI60" s="67">
        <f>R60*u_healthy+S60*u_early+T60*u_advanced</f>
        <v>18912.267140300082</v>
      </c>
      <c r="AJ60" s="69">
        <f>1/(1+disc_costs)^A60</f>
        <v>0.22146318426189657</v>
      </c>
      <c r="AK60" s="69">
        <f>1/(1+disc_effects)^A60</f>
        <v>0.22146318426189657</v>
      </c>
      <c r="AL60" s="68">
        <f>AG60*AJ60</f>
        <v>673194.3856852605</v>
      </c>
      <c r="AM60" s="67">
        <f>AI60*AK60</f>
        <v>4188.370902502489</v>
      </c>
      <c r="AN60" s="67">
        <f>AH60*AK60</f>
        <v>4667.914260356469</v>
      </c>
      <c r="AO60" s="64" t="str">
        <f>IF(AND(ABS(V60+U60-cohort_size)&lt;0.000001*cohort_size,MIN(I60:Q60)&gt;=0,MAX(I60:Q60)&lt;=1),"OK","CHECK")</f>
        <v>OK</v>
      </c>
    </row>
    <row r="61">
      <c r="A61" s="63">
        <f>A60+1</f>
        <v>52.0</v>
      </c>
      <c r="B61" s="63">
        <f>start_age+A61</f>
        <v>92.0</v>
      </c>
      <c r="C61" s="64" t="str">
        <f>INDEX(age_band_label,MATCH(B61,age_band_start,1))</f>
        <v>90-94</v>
      </c>
      <c r="D61" s="65">
        <f>INDEX(p_background_death,MATCH(B61,age_band_start,1))</f>
        <v>0.18</v>
      </c>
      <c r="E61" s="65">
        <f>INDEX(p_cancer_onset,MATCH(B61,age_band_start,1))</f>
        <v>0.0024</v>
      </c>
      <c r="F61" s="63">
        <f>IF(AND($B$3="Yes",B61&gt;=$E$3,B61&lt;=$H$3),1,0)</f>
        <v>0.0</v>
      </c>
      <c r="G61" s="66">
        <f>F61*screen_participation</f>
        <v>0.0</v>
      </c>
      <c r="H61" s="65">
        <f>1-(1-p_detect_symptoms)*(1-G61*screen_sensitivity)</f>
        <v>0.09999999999999998</v>
      </c>
      <c r="I61" s="65">
        <f>1-J61-K61</f>
        <v>0.8180320000000001</v>
      </c>
      <c r="J61" s="65">
        <f>(1-D61)*E61</f>
        <v>0.001968</v>
      </c>
      <c r="K61" s="65">
        <f>D61</f>
        <v>0.18</v>
      </c>
      <c r="L61" s="65">
        <f>(1-D61)*H61*p_cure_early</f>
        <v>0.07379999999999999</v>
      </c>
      <c r="M61" s="65">
        <f>(1-D61)*(1-H61)*(1-p_progression)</f>
        <v>0.5535000000000001</v>
      </c>
      <c r="N61" s="65">
        <f>(1-D61)*(H61*(1-p_cure_early)+(1-H61)*p_progression)</f>
        <v>0.1927</v>
      </c>
      <c r="O61" s="65">
        <f>D61</f>
        <v>0.18</v>
      </c>
      <c r="P61" s="65">
        <f>1-Q61</f>
        <v>0.615</v>
      </c>
      <c r="Q61" s="65">
        <f>1-(1-D61)*(1-p_death_advanced)</f>
        <v>0.385</v>
      </c>
      <c r="R61" s="67">
        <f>R60*I60+S60*L60</f>
        <v>17010.97613230353</v>
      </c>
      <c r="S61" s="67">
        <f>R60*J60+S60*M60</f>
        <v>126.12575939034892</v>
      </c>
      <c r="T61" s="67">
        <f>S60*N60+T60*P60</f>
        <v>117.32075171141278</v>
      </c>
      <c r="U61" s="67">
        <f>U60+R60*K60+S60*O60+T60*Q60</f>
        <v>82745.57735659482</v>
      </c>
      <c r="V61" s="67">
        <f>R61+S61+T61</f>
        <v>17254.422643405294</v>
      </c>
      <c r="W61" s="67">
        <f>R61*J61</f>
        <v>33.47760102837335</v>
      </c>
      <c r="X61" s="67">
        <f>S61*(1-D61)*H61</f>
        <v>10.34231227000861</v>
      </c>
      <c r="Y61" s="67">
        <f>S61*(1-D61)*(1-H61)*p_progression</f>
        <v>23.27020260751938</v>
      </c>
      <c r="Z61" s="67">
        <f>X61+Y61</f>
        <v>33.61251487752799</v>
      </c>
      <c r="AA61" s="67">
        <f>T61*(1-D61)*p_death_advanced</f>
        <v>24.050754100839622</v>
      </c>
      <c r="AB61" s="67">
        <f>(R61+S61)*G61</f>
        <v>0.0</v>
      </c>
      <c r="AC61" s="67">
        <f>G61*(R61*(1-screen_specificity)+S61*screen_sensitivity)</f>
        <v>0.0</v>
      </c>
      <c r="AD61" s="68">
        <f>AB61*cost_screen_test+AC61*cost_followup_test</f>
        <v>0.0</v>
      </c>
      <c r="AE61" s="68">
        <f>X61*cost_early_treatment</f>
        <v>155134.68405012917</v>
      </c>
      <c r="AF61" s="68">
        <f>T61*cost_advanced_year</f>
        <v>2346415.0342282555</v>
      </c>
      <c r="AG61" s="68">
        <f>AD61+AE61+AF61</f>
        <v>2501549.718278385</v>
      </c>
      <c r="AH61" s="67">
        <f>V61</f>
        <v>17254.422643405294</v>
      </c>
      <c r="AI61" s="67">
        <f>R61*u_healthy+S61*u_early+T61*u_advanced</f>
        <v>15481.611827996252</v>
      </c>
      <c r="AJ61" s="69">
        <f>1/(1+disc_costs)^A61</f>
        <v>0.21501280025426853</v>
      </c>
      <c r="AK61" s="69">
        <f>1/(1+disc_effects)^A61</f>
        <v>0.21501280025426853</v>
      </c>
      <c r="AL61" s="68">
        <f>AG61*AJ61</f>
        <v>537865.209902312</v>
      </c>
      <c r="AM61" s="67">
        <f>AI61*AK61</f>
        <v>3328.744711587079</v>
      </c>
      <c r="AN61" s="67">
        <f>AH61*AK61</f>
        <v>3709.9217293292304</v>
      </c>
      <c r="AO61" s="64" t="str">
        <f>IF(AND(ABS(V61+U61-cohort_size)&lt;0.000001*cohort_size,MIN(I61:Q61)&gt;=0,MAX(I61:Q61)&lt;=1),"OK","CHECK")</f>
        <v>OK</v>
      </c>
    </row>
    <row r="62">
      <c r="A62" s="63">
        <f>A61+1</f>
        <v>53.0</v>
      </c>
      <c r="B62" s="63">
        <f>start_age+A62</f>
        <v>93.0</v>
      </c>
      <c r="C62" s="64" t="str">
        <f>INDEX(age_band_label,MATCH(B62,age_band_start,1))</f>
        <v>90-94</v>
      </c>
      <c r="D62" s="65">
        <f>INDEX(p_background_death,MATCH(B62,age_band_start,1))</f>
        <v>0.18</v>
      </c>
      <c r="E62" s="65">
        <f>INDEX(p_cancer_onset,MATCH(B62,age_band_start,1))</f>
        <v>0.0024</v>
      </c>
      <c r="F62" s="63">
        <f>IF(AND($B$3="Yes",B62&gt;=$E$3,B62&lt;=$H$3),1,0)</f>
        <v>0.0</v>
      </c>
      <c r="G62" s="66">
        <f>F62*screen_participation</f>
        <v>0.0</v>
      </c>
      <c r="H62" s="65">
        <f>1-(1-p_detect_symptoms)*(1-G62*screen_sensitivity)</f>
        <v>0.09999999999999998</v>
      </c>
      <c r="I62" s="65">
        <f>1-J62-K62</f>
        <v>0.8180320000000001</v>
      </c>
      <c r="J62" s="65">
        <f>(1-D62)*E62</f>
        <v>0.001968</v>
      </c>
      <c r="K62" s="65">
        <f>D62</f>
        <v>0.18</v>
      </c>
      <c r="L62" s="65">
        <f>(1-D62)*H62*p_cure_early</f>
        <v>0.07379999999999999</v>
      </c>
      <c r="M62" s="65">
        <f>(1-D62)*(1-H62)*(1-p_progression)</f>
        <v>0.5535000000000001</v>
      </c>
      <c r="N62" s="65">
        <f>(1-D62)*(H62*(1-p_cure_early)+(1-H62)*p_progression)</f>
        <v>0.1927</v>
      </c>
      <c r="O62" s="65">
        <f>D62</f>
        <v>0.18</v>
      </c>
      <c r="P62" s="65">
        <f>1-Q62</f>
        <v>0.615</v>
      </c>
      <c r="Q62" s="65">
        <f>1-(1-D62)*(1-p_death_advanced)</f>
        <v>0.385</v>
      </c>
      <c r="R62" s="67">
        <f>R61*I61+S61*L61</f>
        <v>13924.83090850353</v>
      </c>
      <c r="S62" s="67">
        <f>R61*J61+S61*M61</f>
        <v>103.28820885093148</v>
      </c>
      <c r="T62" s="67">
        <f>S61*N61+T61*P61</f>
        <v>96.4566961370391</v>
      </c>
      <c r="U62" s="67">
        <f>U61+R61*K61+S61*O61+T61*Q61</f>
        <v>85875.42418650861</v>
      </c>
      <c r="V62" s="67">
        <f>R62+S62+T62</f>
        <v>14124.575813491501</v>
      </c>
      <c r="W62" s="67">
        <f>R62*J62</f>
        <v>27.40406722793495</v>
      </c>
      <c r="X62" s="67">
        <f>S62*(1-D62)*H62</f>
        <v>8.46963312577638</v>
      </c>
      <c r="Y62" s="67">
        <f>S62*(1-D62)*(1-H62)*p_progression</f>
        <v>19.05667453299686</v>
      </c>
      <c r="Z62" s="67">
        <f>X62+Y62</f>
        <v>27.526307658773238</v>
      </c>
      <c r="AA62" s="67">
        <f>T62*(1-D62)*p_death_advanced</f>
        <v>19.77362270809302</v>
      </c>
      <c r="AB62" s="67">
        <f>(R62+S62)*G62</f>
        <v>0.0</v>
      </c>
      <c r="AC62" s="67">
        <f>G62*(R62*(1-screen_specificity)+S62*screen_sensitivity)</f>
        <v>0.0</v>
      </c>
      <c r="AD62" s="68">
        <f>AB62*cost_screen_test+AC62*cost_followup_test</f>
        <v>0.0</v>
      </c>
      <c r="AE62" s="68">
        <f>X62*cost_early_treatment</f>
        <v>127044.49688664569</v>
      </c>
      <c r="AF62" s="68">
        <f>T62*cost_advanced_year</f>
        <v>1929133.9227407821</v>
      </c>
      <c r="AG62" s="68">
        <f>AD62+AE62+AF62</f>
        <v>2056178.4196274278</v>
      </c>
      <c r="AH62" s="67">
        <f>V62</f>
        <v>14124.575813491501</v>
      </c>
      <c r="AI62" s="67">
        <f>R62*u_healthy+S62*u_early+T62*u_advanced</f>
        <v>12673.19397805184</v>
      </c>
      <c r="AJ62" s="69">
        <f>1/(1+disc_costs)^A62</f>
        <v>0.20875029150899857</v>
      </c>
      <c r="AK62" s="69">
        <f>1/(1+disc_effects)^A62</f>
        <v>0.20875029150899857</v>
      </c>
      <c r="AL62" s="68">
        <f>AG62*AJ62</f>
        <v>429227.84449173755</v>
      </c>
      <c r="AM62" s="67">
        <f>AI62*AK62</f>
        <v>2645.532937268407</v>
      </c>
      <c r="AN62" s="67">
        <f>AH62*AK62</f>
        <v>2948.5093185073015</v>
      </c>
      <c r="AO62" s="64" t="str">
        <f>IF(AND(ABS(V62+U62-cohort_size)&lt;0.000001*cohort_size,MIN(I62:Q62)&gt;=0,MAX(I62:Q62)&lt;=1),"OK","CHECK")</f>
        <v>OK</v>
      </c>
    </row>
    <row r="63">
      <c r="A63" s="63">
        <f>A62+1</f>
        <v>54.0</v>
      </c>
      <c r="B63" s="63">
        <f>start_age+A63</f>
        <v>94.0</v>
      </c>
      <c r="C63" s="64" t="str">
        <f>INDEX(age_band_label,MATCH(B63,age_band_start,1))</f>
        <v>90-94</v>
      </c>
      <c r="D63" s="65">
        <f>INDEX(p_background_death,MATCH(B63,age_band_start,1))</f>
        <v>0.18</v>
      </c>
      <c r="E63" s="65">
        <f>INDEX(p_cancer_onset,MATCH(B63,age_band_start,1))</f>
        <v>0.0024</v>
      </c>
      <c r="F63" s="63">
        <f>IF(AND($B$3="Yes",B63&gt;=$E$3,B63&lt;=$H$3),1,0)</f>
        <v>0.0</v>
      </c>
      <c r="G63" s="66">
        <f>F63*screen_participation</f>
        <v>0.0</v>
      </c>
      <c r="H63" s="65">
        <f>1-(1-p_detect_symptoms)*(1-G63*screen_sensitivity)</f>
        <v>0.09999999999999998</v>
      </c>
      <c r="I63" s="65">
        <f>1-J63-K63</f>
        <v>0.8180320000000001</v>
      </c>
      <c r="J63" s="65">
        <f>(1-D63)*E63</f>
        <v>0.001968</v>
      </c>
      <c r="K63" s="65">
        <f>D63</f>
        <v>0.18</v>
      </c>
      <c r="L63" s="65">
        <f>(1-D63)*H63*p_cure_early</f>
        <v>0.07379999999999999</v>
      </c>
      <c r="M63" s="65">
        <f>(1-D63)*(1-H63)*(1-p_progression)</f>
        <v>0.5535000000000001</v>
      </c>
      <c r="N63" s="65">
        <f>(1-D63)*(H63*(1-p_cure_early)+(1-H63)*p_progression)</f>
        <v>0.1927</v>
      </c>
      <c r="O63" s="65">
        <f>D63</f>
        <v>0.18</v>
      </c>
      <c r="P63" s="65">
        <f>1-Q63</f>
        <v>0.615</v>
      </c>
      <c r="Q63" s="65">
        <f>1-(1-D63)*(1-p_death_advanced)</f>
        <v>0.385</v>
      </c>
      <c r="R63" s="67">
        <f>R62*I62+S62*L62</f>
        <v>11398.57994755816</v>
      </c>
      <c r="S63" s="67">
        <f>R62*J62+S62*M62</f>
        <v>84.57409082692554</v>
      </c>
      <c r="T63" s="67">
        <f>S62*N62+T62*P62</f>
        <v>79.22450596985354</v>
      </c>
      <c r="U63" s="67">
        <f>U62+R62*K62+S62*O62+T62*Q62</f>
        <v>88437.62145564517</v>
      </c>
      <c r="V63" s="67">
        <f>R63+S63+T63</f>
        <v>11562.37854435494</v>
      </c>
      <c r="W63" s="67">
        <f>R63*J63</f>
        <v>22.43240533679446</v>
      </c>
      <c r="X63" s="67">
        <f>S63*(1-D63)*H63</f>
        <v>6.935075447807894</v>
      </c>
      <c r="Y63" s="67">
        <f>S63*(1-D63)*(1-H63)*p_progression</f>
        <v>15.603919757567764</v>
      </c>
      <c r="Z63" s="67">
        <f>X63+Y63</f>
        <v>22.53899520537566</v>
      </c>
      <c r="AA63" s="67">
        <f>T63*(1-D63)*p_death_advanced</f>
        <v>16.24102372381998</v>
      </c>
      <c r="AB63" s="67">
        <f>(R63+S63)*G63</f>
        <v>0.0</v>
      </c>
      <c r="AC63" s="67">
        <f>G63*(R63*(1-screen_specificity)+S63*screen_sensitivity)</f>
        <v>0.0</v>
      </c>
      <c r="AD63" s="68">
        <f>AB63*cost_screen_test+AC63*cost_followup_test</f>
        <v>0.0</v>
      </c>
      <c r="AE63" s="68">
        <f>X63*cost_early_treatment</f>
        <v>104026.13171711842</v>
      </c>
      <c r="AF63" s="68">
        <f>T63*cost_advanced_year</f>
        <v>1584490.1193970707</v>
      </c>
      <c r="AG63" s="68">
        <f>AD63+AE63+AF63</f>
        <v>1688516.2511141892</v>
      </c>
      <c r="AH63" s="67">
        <f>V63</f>
        <v>11562.37854435494</v>
      </c>
      <c r="AI63" s="67">
        <f>R63*u_healthy+S63*u_early+T63*u_advanced</f>
        <v>10374.18340828865</v>
      </c>
      <c r="AJ63" s="69">
        <f>1/(1+disc_costs)^A63</f>
        <v>0.20267018593106656</v>
      </c>
      <c r="AK63" s="69">
        <f>1/(1+disc_effects)^A63</f>
        <v>0.20267018593106656</v>
      </c>
      <c r="AL63" s="68">
        <f>AG63*AJ63</f>
        <v>342211.9025609402</v>
      </c>
      <c r="AM63" s="67">
        <f>AI63*AK63</f>
        <v>2102.537680240847</v>
      </c>
      <c r="AN63" s="67">
        <f>AH63*AK63</f>
        <v>2343.3494093897907</v>
      </c>
      <c r="AO63" s="64" t="str">
        <f>IF(AND(ABS(V63+U63-cohort_size)&lt;0.000001*cohort_size,MIN(I63:Q63)&gt;=0,MAX(I63:Q63)&lt;=1),"OK","CHECK")</f>
        <v>OK</v>
      </c>
    </row>
    <row r="64">
      <c r="A64" s="63">
        <f>A63+1</f>
        <v>55.0</v>
      </c>
      <c r="B64" s="63">
        <f>start_age+A64</f>
        <v>95.0</v>
      </c>
      <c r="C64" s="64" t="str">
        <f>INDEX(age_band_label,MATCH(B64,age_band_start,1))</f>
        <v>95-99</v>
      </c>
      <c r="D64" s="65">
        <f>INDEX(p_background_death,MATCH(B64,age_band_start,1))</f>
        <v>0.29</v>
      </c>
      <c r="E64" s="65">
        <f>INDEX(p_cancer_onset,MATCH(B64,age_band_start,1))</f>
        <v>0.0024</v>
      </c>
      <c r="F64" s="63">
        <f>IF(AND($B$3="Yes",B64&gt;=$E$3,B64&lt;=$H$3),1,0)</f>
        <v>0.0</v>
      </c>
      <c r="G64" s="66">
        <f>F64*screen_participation</f>
        <v>0.0</v>
      </c>
      <c r="H64" s="65">
        <f>1-(1-p_detect_symptoms)*(1-G64*screen_sensitivity)</f>
        <v>0.09999999999999998</v>
      </c>
      <c r="I64" s="65">
        <f>1-J64-K64</f>
        <v>0.708296</v>
      </c>
      <c r="J64" s="65">
        <f>(1-D64)*E64</f>
        <v>0.0017039999999999998</v>
      </c>
      <c r="K64" s="65">
        <f>D64</f>
        <v>0.29</v>
      </c>
      <c r="L64" s="65">
        <f>(1-D64)*H64*p_cure_early</f>
        <v>0.06389999999999998</v>
      </c>
      <c r="M64" s="65">
        <f>(1-D64)*(1-H64)*(1-p_progression)</f>
        <v>0.47925</v>
      </c>
      <c r="N64" s="65">
        <f>(1-D64)*(H64*(1-p_cure_early)+(1-H64)*p_progression)</f>
        <v>0.16684999999999997</v>
      </c>
      <c r="O64" s="65">
        <f>D64</f>
        <v>0.29</v>
      </c>
      <c r="P64" s="65">
        <f>1-Q64</f>
        <v>0.5325</v>
      </c>
      <c r="Q64" s="65">
        <f>1-(1-D64)*(1-p_death_advanced)</f>
        <v>0.4675</v>
      </c>
      <c r="R64" s="67">
        <f>R63*I63+S63*L63</f>
        <v>9330.644719563925</v>
      </c>
      <c r="S64" s="67">
        <f>R63*J63+S63*M63</f>
        <v>69.24416460949776</v>
      </c>
      <c r="T64" s="67">
        <f>S63*N63+T63*P63</f>
        <v>65.02049847380849</v>
      </c>
      <c r="U64" s="67">
        <f>U63+R63*K63+S63*O63+T63*Q63</f>
        <v>90535.0906173529</v>
      </c>
      <c r="V64" s="67">
        <f>R64+S64+T64</f>
        <v>9464.90938264723</v>
      </c>
      <c r="W64" s="67">
        <f>R64*J64</f>
        <v>15.899418602136926</v>
      </c>
      <c r="X64" s="67">
        <f>S64*(1-D64)*H64</f>
        <v>4.91633568727434</v>
      </c>
      <c r="Y64" s="67">
        <f>S64*(1-D64)*(1-H64)*p_progression</f>
        <v>11.061755296367267</v>
      </c>
      <c r="Z64" s="67">
        <f>X64+Y64</f>
        <v>15.978090983641607</v>
      </c>
      <c r="AA64" s="67">
        <f>T64*(1-D64)*p_death_advanced</f>
        <v>11.541138479101006</v>
      </c>
      <c r="AB64" s="67">
        <f>(R64+S64)*G64</f>
        <v>0.0</v>
      </c>
      <c r="AC64" s="67">
        <f>G64*(R64*(1-screen_specificity)+S64*screen_sensitivity)</f>
        <v>0.0</v>
      </c>
      <c r="AD64" s="68">
        <f>AB64*cost_screen_test+AC64*cost_followup_test</f>
        <v>0.0</v>
      </c>
      <c r="AE64" s="68">
        <f>X64*cost_early_treatment</f>
        <v>73745.03530911509</v>
      </c>
      <c r="AF64" s="68">
        <f>T64*cost_advanced_year</f>
        <v>1300409.9694761697</v>
      </c>
      <c r="AG64" s="68">
        <f>AD64+AE64+AF64</f>
        <v>1374155.0047852849</v>
      </c>
      <c r="AH64" s="67">
        <f>V64</f>
        <v>9464.90938264723</v>
      </c>
      <c r="AI64" s="67">
        <f>R64*u_healthy+S64*u_early+T64*u_advanced</f>
        <v>8492.199061686202</v>
      </c>
      <c r="AJ64" s="69">
        <f>1/(1+disc_costs)^A64</f>
        <v>0.19676717080686074</v>
      </c>
      <c r="AK64" s="69">
        <f>1/(1+disc_effects)^A64</f>
        <v>0.19676717080686074</v>
      </c>
      <c r="AL64" s="68">
        <f>AG64*AJ64</f>
        <v>270388.5925416887</v>
      </c>
      <c r="AM64" s="67">
        <f>AI64*AK64</f>
        <v>1670.9859832966715</v>
      </c>
      <c r="AN64" s="67">
        <f>AH64*AK64</f>
        <v>1862.3834411668065</v>
      </c>
      <c r="AO64" s="64" t="str">
        <f>IF(AND(ABS(V64+U64-cohort_size)&lt;0.000001*cohort_size,MIN(I64:Q64)&gt;=0,MAX(I64:Q64)&lt;=1),"OK","CHECK")</f>
        <v>OK</v>
      </c>
    </row>
    <row r="65">
      <c r="A65" s="63">
        <f>A64+1</f>
        <v>56.0</v>
      </c>
      <c r="B65" s="63">
        <f>start_age+A65</f>
        <v>96.0</v>
      </c>
      <c r="C65" s="64" t="str">
        <f>INDEX(age_band_label,MATCH(B65,age_band_start,1))</f>
        <v>95-99</v>
      </c>
      <c r="D65" s="65">
        <f>INDEX(p_background_death,MATCH(B65,age_band_start,1))</f>
        <v>0.29</v>
      </c>
      <c r="E65" s="65">
        <f>INDEX(p_cancer_onset,MATCH(B65,age_band_start,1))</f>
        <v>0.0024</v>
      </c>
      <c r="F65" s="63">
        <f>IF(AND($B$3="Yes",B65&gt;=$E$3,B65&lt;=$H$3),1,0)</f>
        <v>0.0</v>
      </c>
      <c r="G65" s="66">
        <f>F65*screen_participation</f>
        <v>0.0</v>
      </c>
      <c r="H65" s="65">
        <f>1-(1-p_detect_symptoms)*(1-G65*screen_sensitivity)</f>
        <v>0.09999999999999998</v>
      </c>
      <c r="I65" s="65">
        <f>1-J65-K65</f>
        <v>0.708296</v>
      </c>
      <c r="J65" s="65">
        <f>(1-D65)*E65</f>
        <v>0.0017039999999999998</v>
      </c>
      <c r="K65" s="65">
        <f>D65</f>
        <v>0.29</v>
      </c>
      <c r="L65" s="65">
        <f>(1-D65)*H65*p_cure_early</f>
        <v>0.06389999999999998</v>
      </c>
      <c r="M65" s="65">
        <f>(1-D65)*(1-H65)*(1-p_progression)</f>
        <v>0.47925</v>
      </c>
      <c r="N65" s="65">
        <f>(1-D65)*(H65*(1-p_cure_early)+(1-H65)*p_progression)</f>
        <v>0.16684999999999997</v>
      </c>
      <c r="O65" s="65">
        <f>D65</f>
        <v>0.29</v>
      </c>
      <c r="P65" s="65">
        <f>1-Q65</f>
        <v>0.5325</v>
      </c>
      <c r="Q65" s="65">
        <f>1-(1-D65)*(1-p_death_advanced)</f>
        <v>0.4675</v>
      </c>
      <c r="R65" s="67">
        <f>R64*I64+S64*L64</f>
        <v>6613.283034406796</v>
      </c>
      <c r="S65" s="67">
        <f>R64*J64+S64*M64</f>
        <v>49.084684491238725</v>
      </c>
      <c r="T65" s="67">
        <f>S64*N64+T64*P64</f>
        <v>46.17680430239771</v>
      </c>
      <c r="U65" s="67">
        <f>U64+R64*K64+S64*O64+T64*Q64</f>
        <v>93291.45547679969</v>
      </c>
      <c r="V65" s="67">
        <f>R65+S65+T65</f>
        <v>6708.544523200432</v>
      </c>
      <c r="W65" s="67">
        <f>R65*J65</f>
        <v>11.269034290629179</v>
      </c>
      <c r="X65" s="67">
        <f>S65*(1-D65)*H65</f>
        <v>3.485012598877949</v>
      </c>
      <c r="Y65" s="67">
        <f>S65*(1-D65)*(1-H65)*p_progression</f>
        <v>7.841278347475387</v>
      </c>
      <c r="Z65" s="67">
        <f>X65+Y65</f>
        <v>11.326290946353335</v>
      </c>
      <c r="AA65" s="67">
        <f>T65*(1-D65)*p_death_advanced</f>
        <v>8.196382763675594</v>
      </c>
      <c r="AB65" s="67">
        <f>(R65+S65)*G65</f>
        <v>0.0</v>
      </c>
      <c r="AC65" s="67">
        <f>G65*(R65*(1-screen_specificity)+S65*screen_sensitivity)</f>
        <v>0.0</v>
      </c>
      <c r="AD65" s="68">
        <f>AB65*cost_screen_test+AC65*cost_followup_test</f>
        <v>0.0</v>
      </c>
      <c r="AE65" s="68">
        <f>X65*cost_early_treatment</f>
        <v>52275.18898316923</v>
      </c>
      <c r="AF65" s="68">
        <f>T65*cost_advanced_year</f>
        <v>923536.0860479543</v>
      </c>
      <c r="AG65" s="68">
        <f>AD65+AE65+AF65</f>
        <v>975811.2750311235</v>
      </c>
      <c r="AH65" s="67">
        <f>V65</f>
        <v>6708.544523200432</v>
      </c>
      <c r="AI65" s="67">
        <f>R65*u_healthy+S65*u_early+T65*u_advanced</f>
        <v>6019.073955149988</v>
      </c>
      <c r="AJ65" s="69">
        <f>1/(1+disc_costs)^A65</f>
        <v>0.19103608816200068</v>
      </c>
      <c r="AK65" s="69">
        <f>1/(1+disc_effects)^A65</f>
        <v>0.19103608816200068</v>
      </c>
      <c r="AL65" s="68">
        <f>AG65*AJ65</f>
        <v>186415.16876632</v>
      </c>
      <c r="AM65" s="67">
        <f>AI65*AK65</f>
        <v>1149.8603427496353</v>
      </c>
      <c r="AN65" s="67">
        <f>AH65*AK65</f>
        <v>1281.5741029728247</v>
      </c>
      <c r="AO65" s="64" t="str">
        <f>IF(AND(ABS(V65+U65-cohort_size)&lt;0.000001*cohort_size,MIN(I65:Q65)&gt;=0,MAX(I65:Q65)&lt;=1),"OK","CHECK")</f>
        <v>OK</v>
      </c>
    </row>
    <row r="66">
      <c r="A66" s="63">
        <f>A65+1</f>
        <v>57.0</v>
      </c>
      <c r="B66" s="63">
        <f>start_age+A66</f>
        <v>97.0</v>
      </c>
      <c r="C66" s="64" t="str">
        <f>INDEX(age_band_label,MATCH(B66,age_band_start,1))</f>
        <v>95-99</v>
      </c>
      <c r="D66" s="65">
        <f>INDEX(p_background_death,MATCH(B66,age_band_start,1))</f>
        <v>0.29</v>
      </c>
      <c r="E66" s="65">
        <f>INDEX(p_cancer_onset,MATCH(B66,age_band_start,1))</f>
        <v>0.0024</v>
      </c>
      <c r="F66" s="63">
        <f>IF(AND($B$3="Yes",B66&gt;=$E$3,B66&lt;=$H$3),1,0)</f>
        <v>0.0</v>
      </c>
      <c r="G66" s="66">
        <f>F66*screen_participation</f>
        <v>0.0</v>
      </c>
      <c r="H66" s="65">
        <f>1-(1-p_detect_symptoms)*(1-G66*screen_sensitivity)</f>
        <v>0.09999999999999998</v>
      </c>
      <c r="I66" s="65">
        <f>1-J66-K66</f>
        <v>0.708296</v>
      </c>
      <c r="J66" s="65">
        <f>(1-D66)*E66</f>
        <v>0.0017039999999999998</v>
      </c>
      <c r="K66" s="65">
        <f>D66</f>
        <v>0.29</v>
      </c>
      <c r="L66" s="65">
        <f>(1-D66)*H66*p_cure_early</f>
        <v>0.06389999999999998</v>
      </c>
      <c r="M66" s="65">
        <f>(1-D66)*(1-H66)*(1-p_progression)</f>
        <v>0.47925</v>
      </c>
      <c r="N66" s="65">
        <f>(1-D66)*(H66*(1-p_cure_early)+(1-H66)*p_progression)</f>
        <v>0.16684999999999997</v>
      </c>
      <c r="O66" s="65">
        <f>D66</f>
        <v>0.29</v>
      </c>
      <c r="P66" s="65">
        <f>1-Q66</f>
        <v>0.5325</v>
      </c>
      <c r="Q66" s="65">
        <f>1-(1-D66)*(1-p_death_advanced)</f>
        <v>0.4675</v>
      </c>
      <c r="R66" s="67">
        <f>R65*I65+S65*L65</f>
        <v>4687.298431477187</v>
      </c>
      <c r="S66" s="67">
        <f>R65*J65+S65*M65</f>
        <v>34.792869333055336</v>
      </c>
      <c r="T66" s="67">
        <f>S65*N65+T65*P65</f>
        <v>32.77892789838996</v>
      </c>
      <c r="U66" s="67">
        <f>U65+R65*K65+S65*O65+T65*Q65</f>
        <v>95245.12977129148</v>
      </c>
      <c r="V66" s="67">
        <f>R66+S66+T66</f>
        <v>4754.870228708632</v>
      </c>
      <c r="W66" s="67">
        <f>R66*J66</f>
        <v>7.987156527237125</v>
      </c>
      <c r="X66" s="67">
        <f>S66*(1-D66)*H66</f>
        <v>2.4702937226469284</v>
      </c>
      <c r="Y66" s="67">
        <f>S66*(1-D66)*(1-H66)*p_progression</f>
        <v>5.55816087595559</v>
      </c>
      <c r="Z66" s="67">
        <f>X66+Y66</f>
        <v>8.028454598602519</v>
      </c>
      <c r="AA66" s="67">
        <f>T66*(1-D66)*p_death_advanced</f>
        <v>5.818259701964218</v>
      </c>
      <c r="AB66" s="67">
        <f>(R66+S66)*G66</f>
        <v>0.0</v>
      </c>
      <c r="AC66" s="67">
        <f>G66*(R66*(1-screen_specificity)+S66*screen_sensitivity)</f>
        <v>0.0</v>
      </c>
      <c r="AD66" s="68">
        <f>AB66*cost_screen_test+AC66*cost_followup_test</f>
        <v>0.0</v>
      </c>
      <c r="AE66" s="68">
        <f>X66*cost_early_treatment</f>
        <v>37054.405839703926</v>
      </c>
      <c r="AF66" s="68">
        <f>T66*cost_advanced_year</f>
        <v>655578.5579677991</v>
      </c>
      <c r="AG66" s="68">
        <f>AD66+AE66+AF66</f>
        <v>692632.9638075031</v>
      </c>
      <c r="AH66" s="67">
        <f>V66</f>
        <v>4754.870228708632</v>
      </c>
      <c r="AI66" s="67">
        <f>R66*u_healthy+S66*u_early+T66*u_advanced</f>
        <v>4266.17093760668</v>
      </c>
      <c r="AJ66" s="69">
        <f>1/(1+disc_costs)^A66</f>
        <v>0.1854719302543696</v>
      </c>
      <c r="AK66" s="69">
        <f>1/(1+disc_effects)^A66</f>
        <v>0.1854719302543696</v>
      </c>
      <c r="AL66" s="68">
        <f>AG66*AJ66</f>
        <v>128463.9727551825</v>
      </c>
      <c r="AM66" s="67">
        <f>AI66*AK66</f>
        <v>791.2549585930047</v>
      </c>
      <c r="AN66" s="67">
        <f>AH66*AK66</f>
        <v>881.8949594276257</v>
      </c>
      <c r="AO66" s="64" t="str">
        <f>IF(AND(ABS(V66+U66-cohort_size)&lt;0.000001*cohort_size,MIN(I66:Q66)&gt;=0,MAX(I66:Q66)&lt;=1),"OK","CHECK")</f>
        <v>OK</v>
      </c>
    </row>
    <row r="67">
      <c r="A67" s="63">
        <f>A66+1</f>
        <v>58.0</v>
      </c>
      <c r="B67" s="63">
        <f>start_age+A67</f>
        <v>98.0</v>
      </c>
      <c r="C67" s="64" t="str">
        <f>INDEX(age_band_label,MATCH(B67,age_band_start,1))</f>
        <v>95-99</v>
      </c>
      <c r="D67" s="65">
        <f>INDEX(p_background_death,MATCH(B67,age_band_start,1))</f>
        <v>0.29</v>
      </c>
      <c r="E67" s="65">
        <f>INDEX(p_cancer_onset,MATCH(B67,age_band_start,1))</f>
        <v>0.0024</v>
      </c>
      <c r="F67" s="63">
        <f>IF(AND($B$3="Yes",B67&gt;=$E$3,B67&lt;=$H$3),1,0)</f>
        <v>0.0</v>
      </c>
      <c r="G67" s="66">
        <f>F67*screen_participation</f>
        <v>0.0</v>
      </c>
      <c r="H67" s="65">
        <f>1-(1-p_detect_symptoms)*(1-G67*screen_sensitivity)</f>
        <v>0.09999999999999998</v>
      </c>
      <c r="I67" s="65">
        <f>1-J67-K67</f>
        <v>0.708296</v>
      </c>
      <c r="J67" s="65">
        <f>(1-D67)*E67</f>
        <v>0.0017039999999999998</v>
      </c>
      <c r="K67" s="65">
        <f>D67</f>
        <v>0.29</v>
      </c>
      <c r="L67" s="65">
        <f>(1-D67)*H67*p_cure_early</f>
        <v>0.06389999999999998</v>
      </c>
      <c r="M67" s="65">
        <f>(1-D67)*(1-H67)*(1-p_progression)</f>
        <v>0.47925</v>
      </c>
      <c r="N67" s="65">
        <f>(1-D67)*(H67*(1-p_cure_early)+(1-H67)*p_progression)</f>
        <v>0.16684999999999997</v>
      </c>
      <c r="O67" s="65">
        <f>D67</f>
        <v>0.29</v>
      </c>
      <c r="P67" s="65">
        <f>1-Q67</f>
        <v>0.5325</v>
      </c>
      <c r="Q67" s="65">
        <f>1-(1-D67)*(1-p_death_advanced)</f>
        <v>0.4675</v>
      </c>
      <c r="R67" s="67">
        <f>R66*I66+S66*L66</f>
        <v>3322.217994171948</v>
      </c>
      <c r="S67" s="67">
        <f>R66*J66+S66*M66</f>
        <v>24.661639155103895</v>
      </c>
      <c r="T67" s="67">
        <f>S66*N66+T66*P66</f>
        <v>23.259969354112933</v>
      </c>
      <c r="U67" s="67">
        <f>U66+R66*K66+S66*O66+T66*Q66</f>
        <v>96629.86039731895</v>
      </c>
      <c r="V67" s="67">
        <f>R67+S67+T67</f>
        <v>3370.1396026811644</v>
      </c>
      <c r="W67" s="67">
        <f>R67*J67</f>
        <v>5.661059462068998</v>
      </c>
      <c r="X67" s="67">
        <f>S67*(1-D67)*H67</f>
        <v>1.750976380012376</v>
      </c>
      <c r="Y67" s="67">
        <f>S67*(1-D67)*(1-H67)*p_progression</f>
        <v>3.939696855027847</v>
      </c>
      <c r="Z67" s="67">
        <f>X67+Y67</f>
        <v>5.690673235040223</v>
      </c>
      <c r="AA67" s="67">
        <f>T67*(1-D67)*p_death_advanced</f>
        <v>4.1286445603550455</v>
      </c>
      <c r="AB67" s="67">
        <f>(R67+S67)*G67</f>
        <v>0.0</v>
      </c>
      <c r="AC67" s="67">
        <f>G67*(R67*(1-screen_specificity)+S67*screen_sensitivity)</f>
        <v>0.0</v>
      </c>
      <c r="AD67" s="68">
        <f>AB67*cost_screen_test+AC67*cost_followup_test</f>
        <v>0.0</v>
      </c>
      <c r="AE67" s="68">
        <f>X67*cost_early_treatment</f>
        <v>26264.64570018564</v>
      </c>
      <c r="AF67" s="68">
        <f>T67*cost_advanced_year</f>
        <v>465199.38708225865</v>
      </c>
      <c r="AG67" s="68">
        <f>AD67+AE67+AF67</f>
        <v>491464.03278244426</v>
      </c>
      <c r="AH67" s="67">
        <f>V67</f>
        <v>3370.1396026811644</v>
      </c>
      <c r="AI67" s="67">
        <f>R67*u_healthy+S67*u_early+T67*u_advanced</f>
        <v>3023.7515711813535</v>
      </c>
      <c r="AJ67" s="69">
        <f>1/(1+disc_costs)^A67</f>
        <v>0.1800698351984171</v>
      </c>
      <c r="AK67" s="69">
        <f>1/(1+disc_effects)^A67</f>
        <v>0.1800698351984171</v>
      </c>
      <c r="AL67" s="68">
        <f>AG67*AJ67</f>
        <v>88497.8473890842</v>
      </c>
      <c r="AM67" s="67">
        <f>AI67*AK67</f>
        <v>544.4864471035811</v>
      </c>
      <c r="AN67" s="67">
        <f>AH67*AK67</f>
        <v>606.8604828504562</v>
      </c>
      <c r="AO67" s="64" t="str">
        <f>IF(AND(ABS(V67+U67-cohort_size)&lt;0.000001*cohort_size,MIN(I67:Q67)&gt;=0,MAX(I67:Q67)&lt;=1),"OK","CHECK")</f>
        <v>OK</v>
      </c>
    </row>
    <row r="68">
      <c r="A68" s="63">
        <f>A67+1</f>
        <v>59.0</v>
      </c>
      <c r="B68" s="63">
        <f>start_age+A68</f>
        <v>99.0</v>
      </c>
      <c r="C68" s="64" t="str">
        <f>INDEX(age_band_label,MATCH(B68,age_band_start,1))</f>
        <v>95-99</v>
      </c>
      <c r="D68" s="65">
        <f>INDEX(p_background_death,MATCH(B68,age_band_start,1))</f>
        <v>0.29</v>
      </c>
      <c r="E68" s="65">
        <f>INDEX(p_cancer_onset,MATCH(B68,age_band_start,1))</f>
        <v>0.0024</v>
      </c>
      <c r="F68" s="63">
        <f>IF(AND($B$3="Yes",B68&gt;=$E$3,B68&lt;=$H$3),1,0)</f>
        <v>0.0</v>
      </c>
      <c r="G68" s="66">
        <f>F68*screen_participation</f>
        <v>0.0</v>
      </c>
      <c r="H68" s="65">
        <f>1-(1-p_detect_symptoms)*(1-G68*screen_sensitivity)</f>
        <v>0.09999999999999998</v>
      </c>
      <c r="I68" s="65">
        <f>1-J68-K68</f>
        <v>0.708296</v>
      </c>
      <c r="J68" s="65">
        <f>(1-D68)*E68</f>
        <v>0.0017039999999999998</v>
      </c>
      <c r="K68" s="65">
        <f>D68</f>
        <v>0.29</v>
      </c>
      <c r="L68" s="65">
        <f>(1-D68)*H68*p_cure_early</f>
        <v>0.06389999999999998</v>
      </c>
      <c r="M68" s="65">
        <f>(1-D68)*(1-H68)*(1-p_progression)</f>
        <v>0.47925</v>
      </c>
      <c r="N68" s="65">
        <f>(1-D68)*(H68*(1-p_cure_early)+(1-H68)*p_progression)</f>
        <v>0.16684999999999997</v>
      </c>
      <c r="O68" s="65">
        <f>D68</f>
        <v>0.29</v>
      </c>
      <c r="P68" s="65">
        <f>1-Q68</f>
        <v>0.5325</v>
      </c>
      <c r="Q68" s="65">
        <f>1-(1-D68)*(1-p_death_advanced)</f>
        <v>0.4675</v>
      </c>
      <c r="R68" s="67">
        <f>R67*I67+S67*L67</f>
        <v>2354.6895951420256</v>
      </c>
      <c r="S68" s="67">
        <f>R67*J67+S67*M67</f>
        <v>17.48015002715254</v>
      </c>
      <c r="T68" s="67">
        <f>S67*N67+T67*P67</f>
        <v>16.50072817409422</v>
      </c>
      <c r="U68" s="67">
        <f>U67+R67*K67+S67*O67+T67*Q67</f>
        <v>97611.32952665683</v>
      </c>
      <c r="V68" s="67">
        <f>R68+S68+T68</f>
        <v>2388.670473343272</v>
      </c>
      <c r="W68" s="67">
        <f>R68*J68</f>
        <v>4.012391070122011</v>
      </c>
      <c r="X68" s="67">
        <f>S68*(1-D68)*H68</f>
        <v>1.24109065192783</v>
      </c>
      <c r="Y68" s="67">
        <f>S68*(1-D68)*(1-H68)*p_progression</f>
        <v>2.792453966837618</v>
      </c>
      <c r="Z68" s="67">
        <f>X68+Y68</f>
        <v>4.033544618765448</v>
      </c>
      <c r="AA68" s="67">
        <f>T68*(1-D68)*p_death_advanced</f>
        <v>2.928879250901724</v>
      </c>
      <c r="AB68" s="67">
        <f>(R68+S68)*G68</f>
        <v>0.0</v>
      </c>
      <c r="AC68" s="67">
        <f>G68*(R68*(1-screen_specificity)+S68*screen_sensitivity)</f>
        <v>0.0</v>
      </c>
      <c r="AD68" s="68">
        <f>AB68*cost_screen_test+AC68*cost_followup_test</f>
        <v>0.0</v>
      </c>
      <c r="AE68" s="68">
        <f>X68*cost_early_treatment</f>
        <v>18616.35977891745</v>
      </c>
      <c r="AF68" s="68">
        <f>T68*cost_advanced_year</f>
        <v>330014.5634818844</v>
      </c>
      <c r="AG68" s="68">
        <f>AD68+AE68+AF68</f>
        <v>348630.9232608019</v>
      </c>
      <c r="AH68" s="67">
        <f>V68</f>
        <v>2388.670473343272</v>
      </c>
      <c r="AI68" s="67">
        <f>R68*u_healthy+S68*u_early+T68*u_advanced</f>
        <v>2143.154163646654</v>
      </c>
      <c r="AJ68" s="69">
        <f>1/(1+disc_costs)^A68</f>
        <v>0.17482508271690977</v>
      </c>
      <c r="AK68" s="69">
        <f>1/(1+disc_effects)^A68</f>
        <v>0.17482508271690977</v>
      </c>
      <c r="AL68" s="68">
        <f>AG68*AJ68</f>
        <v>60949.429996742314</v>
      </c>
      <c r="AM68" s="67">
        <f>AI68*AK68</f>
        <v>374.6771039346159</v>
      </c>
      <c r="AN68" s="67">
        <f>AH68*AK68</f>
        <v>417.5995130856776</v>
      </c>
      <c r="AO68" s="64" t="str">
        <f>IF(AND(ABS(V68+U68-cohort_size)&lt;0.000001*cohort_size,MIN(I68:Q68)&gt;=0,MAX(I68:Q68)&lt;=1),"OK","CHECK")</f>
        <v>OK</v>
      </c>
    </row>
  </sheetData>
  <mergeCells count="10">
    <mergeCell ref="I6:Q6"/>
    <mergeCell ref="AD6:AG6"/>
    <mergeCell ref="AL6:AN6"/>
    <mergeCell ref="D6:H6"/>
    <mergeCell ref="AB6:AC6"/>
    <mergeCell ref="R6:V6"/>
    <mergeCell ref="AH6:AI6"/>
    <mergeCell ref="A6:C6"/>
    <mergeCell ref="W6:AA6"/>
    <mergeCell ref="AJ6:AK6"/>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A9D08E"/>
    <outlinePr summaryBelow="1" summaryRight="1"/>
    <pageSetUpPr/>
  </sheetPr>
  <dimension ref="A1:AO68"/>
  <sheetViews>
    <sheetView workbookViewId="0">
      <pane xSplit="3" ySplit="8" topLeftCell="D9" activePane="bottomRight" state="frozen"/>
      <selection pane="topRight"/>
      <selection pane="bottomLeft"/>
      <selection pane="bottomRight" activeCell="A1" sqref="A1"/>
    </sheetView>
  </sheetViews>
  <sheetFormatPr baseColWidth="8" defaultRowHeight="15"/>
  <cols>
    <col width="16" customWidth="1" min="1" max="1"/>
    <col width="11.5" customWidth="1" min="2" max="2"/>
    <col width="9" customWidth="1" min="3" max="3"/>
    <col width="11.5" customWidth="1" min="4" max="4"/>
    <col width="11.5" customWidth="1" min="5" max="5"/>
    <col width="11.5" customWidth="1" min="6" max="6"/>
    <col width="11.5" customWidth="1" min="7" max="7"/>
    <col width="11.5" customWidth="1" min="8" max="8"/>
    <col width="11.5" customWidth="1" min="9" max="9"/>
    <col width="11.5" customWidth="1" min="10" max="10"/>
    <col width="11.5" customWidth="1" min="11" max="11"/>
    <col width="11.5" customWidth="1" min="12" max="12"/>
    <col width="11.5" customWidth="1" min="13" max="13"/>
    <col width="11.5" customWidth="1" min="14" max="14"/>
    <col width="11.5" customWidth="1" min="15" max="15"/>
    <col width="11.5" customWidth="1" min="16" max="16"/>
    <col width="11.5" customWidth="1" min="17" max="17"/>
    <col width="11.5" customWidth="1" min="18" max="18"/>
    <col width="11.5" customWidth="1" min="19" max="19"/>
    <col width="11.5" customWidth="1" min="20" max="20"/>
    <col width="11.5" customWidth="1" min="21" max="21"/>
    <col width="11.5" customWidth="1" min="22" max="22"/>
    <col width="11.5" customWidth="1" min="23" max="23"/>
    <col width="11.5" customWidth="1" min="24" max="24"/>
    <col width="11.5" customWidth="1" min="25" max="25"/>
    <col width="11.5" customWidth="1" min="26" max="26"/>
    <col width="11.5" customWidth="1" min="27" max="27"/>
    <col width="11.5" customWidth="1" min="28" max="28"/>
    <col width="11.5" customWidth="1" min="29" max="29"/>
    <col width="11.5" customWidth="1" min="30" max="30"/>
    <col width="11.5" customWidth="1" min="31" max="31"/>
    <col width="11.5" customWidth="1" min="32" max="32"/>
    <col width="11.5" customWidth="1" min="33" max="33"/>
    <col width="11.5" customWidth="1" min="34" max="34"/>
    <col width="11.5" customWidth="1" min="35" max="35"/>
    <col width="11.5" customWidth="1" min="36" max="36"/>
    <col width="11.5" customWidth="1" min="37" max="37"/>
    <col width="11.5" customWidth="1" min="38" max="38"/>
    <col width="11.5" customWidth="1" min="39" max="39"/>
    <col width="11.5" customWidth="1" min="40" max="40"/>
    <col width="11.5" customWidth="1" min="41" max="41"/>
  </cols>
  <sheetData>
    <row r="1">
      <c r="A1" s="12" t="str">
        <f>"Markov trace of strategy 2: "&amp;INDEX(strategy_name,2)</f>
        <v>Markov trace of strategy 2: Screening 50-74</v>
      </c>
    </row>
    <row r="2">
      <c r="A2" s="14" t="inlineStr">
        <is>
          <t>Strategy number</t>
        </is>
      </c>
      <c r="B2" s="37" t="n">
        <v>2</v>
      </c>
    </row>
    <row r="3">
      <c r="A3" s="14" t="inlineStr">
        <is>
          <t>Screens?</t>
        </is>
      </c>
      <c r="B3" s="38" t="str">
        <f>INDEX(strategy_screens,$B$2)</f>
        <v>Yes</v>
      </c>
      <c r="D3" s="14" t="inlineStr">
        <is>
          <t>First age screened</t>
        </is>
      </c>
      <c r="E3" s="38">
        <f>INDEX(strategy_first_age,$B$2)</f>
        <v>50.0</v>
      </c>
      <c r="G3" s="14" t="inlineStr">
        <is>
          <t>Last age screened</t>
        </is>
      </c>
      <c r="H3" s="38">
        <f>INDEX(strategy_last_age,$B$2)</f>
        <v>74.0</v>
      </c>
    </row>
    <row r="4">
      <c r="A4" s="13" t="inlineStr">
        <is>
          <t>Each row is one year (one cycle). The people in each state this year (green block) come from last year's row: last year's people x last year's transition matrix (orange block). Hover over a column header to see what it does, or click a cell to read its formula.</t>
        </is>
      </c>
    </row>
    <row r="5">
      <c r="A5" s="13" t="inlineStr">
        <is>
          <t>Costs and QALYs of a year are counted for the people in each state at the start of that year. Row 8 adds up all the years; Results uses those totals.</t>
        </is>
      </c>
    </row>
    <row r="6" ht="30" customHeight="1">
      <c r="A6" s="39" t="inlineStr">
        <is>
          <t>Time</t>
        </is>
      </c>
      <c r="B6" s="40" t="n"/>
      <c r="C6" s="40" t="n"/>
      <c r="D6" s="41" t="inlineStr">
        <is>
          <t>This year's probabilities</t>
        </is>
      </c>
      <c r="E6" s="42" t="n"/>
      <c r="F6" s="42" t="n"/>
      <c r="G6" s="42" t="n"/>
      <c r="H6" s="42" t="n"/>
      <c r="I6" s="43" t="inlineStr">
        <is>
          <t>Transition matrix of this year (row by row)</t>
        </is>
      </c>
      <c r="J6" s="44" t="n"/>
      <c r="K6" s="44" t="n"/>
      <c r="L6" s="44" t="n"/>
      <c r="M6" s="44" t="n"/>
      <c r="N6" s="44" t="n"/>
      <c r="O6" s="44" t="n"/>
      <c r="P6" s="44" t="n"/>
      <c r="Q6" s="44" t="n"/>
      <c r="R6" s="45" t="inlineStr">
        <is>
          <t>Cohort at the start of the year (people)</t>
        </is>
      </c>
      <c r="S6" s="46" t="n"/>
      <c r="T6" s="46" t="n"/>
      <c r="U6" s="46" t="n"/>
      <c r="V6" s="46" t="n"/>
      <c r="W6" s="47" t="inlineStr">
        <is>
          <t>Events during the year (people)</t>
        </is>
      </c>
      <c r="X6" s="48" t="n"/>
      <c r="Y6" s="48" t="n"/>
      <c r="Z6" s="48" t="n"/>
      <c r="AA6" s="48" t="n"/>
      <c r="AB6" s="49" t="inlineStr">
        <is>
          <t>Screening (number)</t>
        </is>
      </c>
      <c r="AC6" s="50" t="n"/>
      <c r="AD6" s="51" t="inlineStr">
        <is>
          <t>Costs of the year (€, not discounted)</t>
        </is>
      </c>
      <c r="AE6" s="52" t="n"/>
      <c r="AF6" s="52" t="n"/>
      <c r="AG6" s="52" t="n"/>
      <c r="AH6" s="53" t="inlineStr">
        <is>
          <t>Health of the year (not discounted)</t>
        </is>
      </c>
      <c r="AI6" s="54" t="n"/>
      <c r="AJ6" s="55" t="inlineStr">
        <is>
          <t>Discounting</t>
        </is>
      </c>
      <c r="AK6" s="56" t="n"/>
      <c r="AL6" s="57" t="inlineStr">
        <is>
          <t>Discounted (what the results use)</t>
        </is>
      </c>
      <c r="AM6" s="58" t="n"/>
      <c r="AN6" s="58" t="n"/>
      <c r="AO6" s="45" t="inlineStr">
        <is>
          <t>Check</t>
        </is>
      </c>
    </row>
    <row r="7" ht="45" customHeight="1">
      <c r="A7" s="19" t="inlineStr">
        <is>
          <t>Cycle (years since start)</t>
        </is>
      </c>
      <c r="B7" s="19" t="inlineStr">
        <is>
          <t>Age</t>
        </is>
      </c>
      <c r="C7" s="19" t="inlineStr">
        <is>
          <t>Age group</t>
        </is>
      </c>
      <c r="D7" s="19" t="inlineStr">
        <is>
          <t>Death from other causes</t>
        </is>
      </c>
      <c r="E7" s="19" t="inlineStr">
        <is>
          <t>Cancer starts (if healthy)</t>
        </is>
      </c>
      <c r="F7" s="19" t="inlineStr">
        <is>
          <t>Screening offered? (1 = yes)</t>
        </is>
      </c>
      <c r="G7" s="19" t="inlineStr">
        <is>
          <t>Screened this year</t>
        </is>
      </c>
      <c r="H7" s="19" t="inlineStr">
        <is>
          <t>Early cancer detected this year</t>
        </is>
      </c>
      <c r="I7" s="19" t="inlineStr">
        <is>
          <t>Healthy → Healthy</t>
        </is>
      </c>
      <c r="J7" s="19" t="inlineStr">
        <is>
          <t>Healthy → Early</t>
        </is>
      </c>
      <c r="K7" s="19" t="inlineStr">
        <is>
          <t>Healthy → Dead</t>
        </is>
      </c>
      <c r="L7" s="19" t="inlineStr">
        <is>
          <t>Early → Healthy</t>
        </is>
      </c>
      <c r="M7" s="19" t="inlineStr">
        <is>
          <t>Early → Early</t>
        </is>
      </c>
      <c r="N7" s="19" t="inlineStr">
        <is>
          <t>Early → Advanced</t>
        </is>
      </c>
      <c r="O7" s="19" t="inlineStr">
        <is>
          <t>Early → Dead</t>
        </is>
      </c>
      <c r="P7" s="19" t="inlineStr">
        <is>
          <t>Advanced → Advanced</t>
        </is>
      </c>
      <c r="Q7" s="19" t="inlineStr">
        <is>
          <t>Advanced → Dead</t>
        </is>
      </c>
      <c r="R7" s="19" t="inlineStr">
        <is>
          <t>Healthy</t>
        </is>
      </c>
      <c r="S7" s="19" t="inlineStr">
        <is>
          <t>Early cancer</t>
        </is>
      </c>
      <c r="T7" s="19" t="inlineStr">
        <is>
          <t>Advanced cancer</t>
        </is>
      </c>
      <c r="U7" s="19" t="inlineStr">
        <is>
          <t>Dead</t>
        </is>
      </c>
      <c r="V7" s="19" t="inlineStr">
        <is>
          <t>Alive</t>
        </is>
      </c>
      <c r="W7" s="19" t="inlineStr">
        <is>
          <t>New cancers</t>
        </is>
      </c>
      <c r="X7" s="19" t="inlineStr">
        <is>
          <t>Diagnosed early</t>
        </is>
      </c>
      <c r="Y7" s="19" t="inlineStr">
        <is>
          <t>Diagnosed advanced</t>
        </is>
      </c>
      <c r="Z7" s="19" t="inlineStr">
        <is>
          <t>All diagnoses</t>
        </is>
      </c>
      <c r="AA7" s="19" t="inlineStr">
        <is>
          <t>Cancer deaths</t>
        </is>
      </c>
      <c r="AB7" s="19" t="inlineStr">
        <is>
          <t>Screening tests</t>
        </is>
      </c>
      <c r="AC7" s="19" t="inlineStr">
        <is>
          <t>Follow-up tests</t>
        </is>
      </c>
      <c r="AD7" s="19" t="inlineStr">
        <is>
          <t>Screening</t>
        </is>
      </c>
      <c r="AE7" s="19" t="inlineStr">
        <is>
          <t>Early treatment</t>
        </is>
      </c>
      <c r="AF7" s="19" t="inlineStr">
        <is>
          <t>Advanced treatment</t>
        </is>
      </c>
      <c r="AG7" s="19" t="inlineStr">
        <is>
          <t>Total cost</t>
        </is>
      </c>
      <c r="AH7" s="19" t="inlineStr">
        <is>
          <t>Life years</t>
        </is>
      </c>
      <c r="AI7" s="19" t="inlineStr">
        <is>
          <t>QALYs</t>
        </is>
      </c>
      <c r="AJ7" s="19" t="inlineStr">
        <is>
          <t>Discount factor (costs)</t>
        </is>
      </c>
      <c r="AK7" s="19" t="inlineStr">
        <is>
          <t>Discount factor (health)</t>
        </is>
      </c>
      <c r="AL7" s="19" t="inlineStr">
        <is>
          <t>Discounted cost</t>
        </is>
      </c>
      <c r="AM7" s="19" t="inlineStr">
        <is>
          <t>Discounted QALYs</t>
        </is>
      </c>
      <c r="AN7" s="19" t="inlineStr">
        <is>
          <t>Discounted life years</t>
        </is>
      </c>
      <c r="AO7" s="19" t="inlineStr">
        <is>
          <t>Check</t>
        </is>
      </c>
    </row>
    <row r="8">
      <c r="A8" s="59" t="inlineStr">
        <is>
          <t>All years</t>
        </is>
      </c>
      <c r="B8" s="60" t="n"/>
      <c r="C8" s="60" t="n"/>
      <c r="D8" s="60" t="n"/>
      <c r="E8" s="60" t="n"/>
      <c r="F8" s="60" t="n"/>
      <c r="G8" s="60" t="n"/>
      <c r="H8" s="60" t="n"/>
      <c r="I8" s="60" t="n"/>
      <c r="J8" s="60" t="n"/>
      <c r="K8" s="60" t="n"/>
      <c r="L8" s="60" t="n"/>
      <c r="M8" s="60" t="n"/>
      <c r="N8" s="60" t="n"/>
      <c r="O8" s="60" t="n"/>
      <c r="P8" s="60" t="n"/>
      <c r="Q8" s="60" t="n"/>
      <c r="R8" s="60" t="n"/>
      <c r="S8" s="60" t="n"/>
      <c r="T8" s="60" t="n"/>
      <c r="U8" s="60" t="n"/>
      <c r="V8" s="60" t="n"/>
      <c r="W8" s="61">
        <f>SUM(W9:W68)</f>
        <v>4721.977097587828</v>
      </c>
      <c r="X8" s="61">
        <f>SUM(X9:X68)</f>
        <v>2395.4323922812796</v>
      </c>
      <c r="Y8" s="61">
        <f>SUM(Y9:Y68)</f>
        <v>1784.3821697793232</v>
      </c>
      <c r="Z8" s="61">
        <f>SUM(Z9:Z68)</f>
        <v>4179.814562060603</v>
      </c>
      <c r="AA8" s="61">
        <f>SUM(AA9:AA68)</f>
        <v>1590.0681491438993</v>
      </c>
      <c r="AB8" s="61">
        <f>SUM(AB9:AB68)</f>
        <v>1353579.3272118135</v>
      </c>
      <c r="AC8" s="61">
        <f>SUM(AC9:AC68)</f>
        <v>96210.54378517385</v>
      </c>
      <c r="AD8" s="62">
        <f>SUM(AD9:AD68)</f>
        <v>136817923.6015283</v>
      </c>
      <c r="AE8" s="62">
        <f>SUM(AE9:AE68)</f>
        <v>35931485.88421919</v>
      </c>
      <c r="AF8" s="62">
        <f>SUM(AF9:AF68)</f>
        <v>135646074.28838277</v>
      </c>
      <c r="AG8" s="62">
        <f>SUM(AG9:AG68)</f>
        <v>308395483.7741302</v>
      </c>
      <c r="AH8" s="61">
        <f>SUM(AH9:AH68)</f>
        <v>4180297.4609105457</v>
      </c>
      <c r="AI8" s="61">
        <f>SUM(AI9:AI68)</f>
        <v>3759390.7789993803</v>
      </c>
      <c r="AJ8" s="60" t="n"/>
      <c r="AK8" s="60" t="n"/>
      <c r="AL8" s="62">
        <f>SUM(AL9:AL68)</f>
        <v>141556536.13838398</v>
      </c>
      <c r="AM8" s="61">
        <f>SUM(AM9:AM68)</f>
        <v>2126468.8662812444</v>
      </c>
      <c r="AN8" s="61">
        <f>SUM(AN9:AN68)</f>
        <v>2363956.929643035</v>
      </c>
      <c r="AO8" s="59" t="str">
        <f>IF(COUNTIF(AO9:AO68,"OK")=60,"OK","CHECK")</f>
        <v>OK</v>
      </c>
    </row>
    <row r="9">
      <c r="A9" s="63" t="n">
        <v>0</v>
      </c>
      <c r="B9" s="63">
        <f>start_age+A9</f>
        <v>40.0</v>
      </c>
      <c r="C9" s="64" t="str">
        <f>INDEX(age_band_label,MATCH(B9,age_band_start,1))</f>
        <v>40-44</v>
      </c>
      <c r="D9" s="65">
        <f>INDEX(p_background_death,MATCH(B9,age_band_start,1))</f>
        <v>0.0015</v>
      </c>
      <c r="E9" s="65">
        <f>INDEX(p_cancer_onset,MATCH(B9,age_band_start,1))</f>
        <v>0.00025</v>
      </c>
      <c r="F9" s="63">
        <f>IF(AND($B$3="Yes",B9&gt;=$E$3,B9&lt;=$H$3),1,0)</f>
        <v>0.0</v>
      </c>
      <c r="G9" s="66">
        <f>F9*screen_participation</f>
        <v>0.0</v>
      </c>
      <c r="H9" s="65">
        <f>1-(1-p_detect_symptoms)*(1-G9*screen_sensitivity)</f>
        <v>0.09999999999999998</v>
      </c>
      <c r="I9" s="65">
        <f>1-J9-K9</f>
        <v>0.998250375</v>
      </c>
      <c r="J9" s="65">
        <f>(1-D9)*E9</f>
        <v>0.000249625</v>
      </c>
      <c r="K9" s="65">
        <f>D9</f>
        <v>0.0015</v>
      </c>
      <c r="L9" s="65">
        <f>(1-D9)*H9*p_cure_early</f>
        <v>0.08986499999999999</v>
      </c>
      <c r="M9" s="65">
        <f>(1-D9)*(1-H9)*(1-p_progression)</f>
        <v>0.6739875000000001</v>
      </c>
      <c r="N9" s="65">
        <f>(1-D9)*(H9*(1-p_cure_early)+(1-H9)*p_progression)</f>
        <v>0.2346475</v>
      </c>
      <c r="O9" s="65">
        <f>D9</f>
        <v>0.0015</v>
      </c>
      <c r="P9" s="65">
        <f>1-Q9</f>
        <v>0.7488750000000001</v>
      </c>
      <c r="Q9" s="65">
        <f>1-(1-D9)*(1-p_death_advanced)</f>
        <v>0.25112499999999993</v>
      </c>
      <c r="R9" s="67">
        <f>cohort_size</f>
        <v>100000.0</v>
      </c>
      <c r="S9" s="67" t="n">
        <v>0</v>
      </c>
      <c r="T9" s="67" t="n">
        <v>0</v>
      </c>
      <c r="U9" s="67" t="n">
        <v>0</v>
      </c>
      <c r="V9" s="67">
        <f>R9+S9+T9</f>
        <v>100000.0</v>
      </c>
      <c r="W9" s="67">
        <f>R9*J9</f>
        <v>24.962500000000002</v>
      </c>
      <c r="X9" s="67">
        <f>S9*(1-D9)*H9</f>
        <v>0.0</v>
      </c>
      <c r="Y9" s="67">
        <f>S9*(1-D9)*(1-H9)*p_progression</f>
        <v>0.0</v>
      </c>
      <c r="Z9" s="67">
        <f>X9+Y9</f>
        <v>0.0</v>
      </c>
      <c r="AA9" s="67">
        <f>T9*(1-D9)*p_death_advanced</f>
        <v>0.0</v>
      </c>
      <c r="AB9" s="67">
        <f>(R9+S9)*G9</f>
        <v>0.0</v>
      </c>
      <c r="AC9" s="67">
        <f>G9*(R9*(1-screen_specificity)+S9*screen_sensitivity)</f>
        <v>0.0</v>
      </c>
      <c r="AD9" s="68">
        <f>AB9*cost_screen_test+AC9*cost_followup_test</f>
        <v>0.0</v>
      </c>
      <c r="AE9" s="68">
        <f>X9*cost_early_treatment</f>
        <v>0.0</v>
      </c>
      <c r="AF9" s="68">
        <f>T9*cost_advanced_year</f>
        <v>0.0</v>
      </c>
      <c r="AG9" s="68">
        <f>AD9+AE9+AF9</f>
        <v>0.0</v>
      </c>
      <c r="AH9" s="67">
        <f>V9</f>
        <v>100000.0</v>
      </c>
      <c r="AI9" s="67">
        <f>R9*u_healthy+S9*u_early+T9*u_advanced</f>
        <v>90000.0</v>
      </c>
      <c r="AJ9" s="69">
        <f>1/(1+disc_costs)^A9</f>
        <v>1.0</v>
      </c>
      <c r="AK9" s="69">
        <f>1/(1+disc_effects)^A9</f>
        <v>1.0</v>
      </c>
      <c r="AL9" s="68">
        <f>AG9*AJ9</f>
        <v>0.0</v>
      </c>
      <c r="AM9" s="67">
        <f>AI9*AK9</f>
        <v>90000.0</v>
      </c>
      <c r="AN9" s="67">
        <f>AH9*AK9</f>
        <v>100000.0</v>
      </c>
      <c r="AO9" s="64" t="str">
        <f>IF(AND(ABS(V9+U9-cohort_size)&lt;0.000001*cohort_size,MIN(I9:Q9)&gt;=0,MAX(I9:Q9)&lt;=1),"OK","CHECK")</f>
        <v>OK</v>
      </c>
    </row>
    <row r="10">
      <c r="A10" s="63">
        <f>A9+1</f>
        <v>1.0</v>
      </c>
      <c r="B10" s="63">
        <f>start_age+A10</f>
        <v>41.0</v>
      </c>
      <c r="C10" s="64" t="str">
        <f>INDEX(age_band_label,MATCH(B10,age_band_start,1))</f>
        <v>40-44</v>
      </c>
      <c r="D10" s="65">
        <f>INDEX(p_background_death,MATCH(B10,age_band_start,1))</f>
        <v>0.0015</v>
      </c>
      <c r="E10" s="65">
        <f>INDEX(p_cancer_onset,MATCH(B10,age_band_start,1))</f>
        <v>0.00025</v>
      </c>
      <c r="F10" s="63">
        <f>IF(AND($B$3="Yes",B10&gt;=$E$3,B10&lt;=$H$3),1,0)</f>
        <v>0.0</v>
      </c>
      <c r="G10" s="66">
        <f>F10*screen_participation</f>
        <v>0.0</v>
      </c>
      <c r="H10" s="65">
        <f>1-(1-p_detect_symptoms)*(1-G10*screen_sensitivity)</f>
        <v>0.09999999999999998</v>
      </c>
      <c r="I10" s="65">
        <f>1-J10-K10</f>
        <v>0.998250375</v>
      </c>
      <c r="J10" s="65">
        <f>(1-D10)*E10</f>
        <v>0.000249625</v>
      </c>
      <c r="K10" s="65">
        <f>D10</f>
        <v>0.0015</v>
      </c>
      <c r="L10" s="65">
        <f>(1-D10)*H10*p_cure_early</f>
        <v>0.08986499999999999</v>
      </c>
      <c r="M10" s="65">
        <f>(1-D10)*(1-H10)*(1-p_progression)</f>
        <v>0.6739875000000001</v>
      </c>
      <c r="N10" s="65">
        <f>(1-D10)*(H10*(1-p_cure_early)+(1-H10)*p_progression)</f>
        <v>0.2346475</v>
      </c>
      <c r="O10" s="65">
        <f>D10</f>
        <v>0.0015</v>
      </c>
      <c r="P10" s="65">
        <f>1-Q10</f>
        <v>0.7488750000000001</v>
      </c>
      <c r="Q10" s="65">
        <f>1-(1-D10)*(1-p_death_advanced)</f>
        <v>0.25112499999999993</v>
      </c>
      <c r="R10" s="67">
        <f>R9*I9+S9*L9</f>
        <v>99825.0375</v>
      </c>
      <c r="S10" s="67">
        <f>R9*J9+S9*M9</f>
        <v>24.962500000000002</v>
      </c>
      <c r="T10" s="67">
        <f>S9*N9+T9*P9</f>
        <v>0.0</v>
      </c>
      <c r="U10" s="67">
        <f>U9+R9*K9+S9*O9+T9*Q9</f>
        <v>150.0</v>
      </c>
      <c r="V10" s="67">
        <f>R10+S10+T10</f>
        <v>99850.0</v>
      </c>
      <c r="W10" s="67">
        <f>R10*J10</f>
        <v>24.9188249859375</v>
      </c>
      <c r="X10" s="67">
        <f>S10*(1-D10)*H10</f>
        <v>2.4925056249999997</v>
      </c>
      <c r="Y10" s="67">
        <f>S10*(1-D10)*(1-H10)*p_progression</f>
        <v>5.608137656250001</v>
      </c>
      <c r="Z10" s="67">
        <f>X10+Y10</f>
        <v>8.10064328125</v>
      </c>
      <c r="AA10" s="67">
        <f>T10*(1-D10)*p_death_advanced</f>
        <v>0.0</v>
      </c>
      <c r="AB10" s="67">
        <f>(R10+S10)*G10</f>
        <v>0.0</v>
      </c>
      <c r="AC10" s="67">
        <f>G10*(R10*(1-screen_specificity)+S10*screen_sensitivity)</f>
        <v>0.0</v>
      </c>
      <c r="AD10" s="68">
        <f>AB10*cost_screen_test+AC10*cost_followup_test</f>
        <v>0.0</v>
      </c>
      <c r="AE10" s="68">
        <f>X10*cost_early_treatment</f>
        <v>37387.584375</v>
      </c>
      <c r="AF10" s="68">
        <f>T10*cost_advanced_year</f>
        <v>0.0</v>
      </c>
      <c r="AG10" s="68">
        <f>AD10+AE10+AF10</f>
        <v>37387.584375</v>
      </c>
      <c r="AH10" s="67">
        <f>V10</f>
        <v>99850.0</v>
      </c>
      <c r="AI10" s="67">
        <f>R10*u_healthy+S10*u_early+T10*u_advanced</f>
        <v>89863.751875</v>
      </c>
      <c r="AJ10" s="69">
        <f>1/(1+disc_costs)^A10</f>
        <v>0.970873786407767</v>
      </c>
      <c r="AK10" s="69">
        <f>1/(1+disc_effects)^A10</f>
        <v>0.970873786407767</v>
      </c>
      <c r="AL10" s="68">
        <f>AG10*AJ10</f>
        <v>36298.625606796115</v>
      </c>
      <c r="AM10" s="67">
        <f>AI10*AK10</f>
        <v>87246.36104368932</v>
      </c>
      <c r="AN10" s="67">
        <f>AH10*AK10</f>
        <v>96941.74757281554</v>
      </c>
      <c r="AO10" s="64" t="str">
        <f>IF(AND(ABS(V10+U10-cohort_size)&lt;0.000001*cohort_size,MIN(I10:Q10)&gt;=0,MAX(I10:Q10)&lt;=1),"OK","CHECK")</f>
        <v>OK</v>
      </c>
    </row>
    <row r="11">
      <c r="A11" s="63">
        <f>A10+1</f>
        <v>2.0</v>
      </c>
      <c r="B11" s="63">
        <f>start_age+A11</f>
        <v>42.0</v>
      </c>
      <c r="C11" s="64" t="str">
        <f>INDEX(age_band_label,MATCH(B11,age_band_start,1))</f>
        <v>40-44</v>
      </c>
      <c r="D11" s="65">
        <f>INDEX(p_background_death,MATCH(B11,age_band_start,1))</f>
        <v>0.0015</v>
      </c>
      <c r="E11" s="65">
        <f>INDEX(p_cancer_onset,MATCH(B11,age_band_start,1))</f>
        <v>0.00025</v>
      </c>
      <c r="F11" s="63">
        <f>IF(AND($B$3="Yes",B11&gt;=$E$3,B11&lt;=$H$3),1,0)</f>
        <v>0.0</v>
      </c>
      <c r="G11" s="66">
        <f>F11*screen_participation</f>
        <v>0.0</v>
      </c>
      <c r="H11" s="65">
        <f>1-(1-p_detect_symptoms)*(1-G11*screen_sensitivity)</f>
        <v>0.09999999999999998</v>
      </c>
      <c r="I11" s="65">
        <f>1-J11-K11</f>
        <v>0.998250375</v>
      </c>
      <c r="J11" s="65">
        <f>(1-D11)*E11</f>
        <v>0.000249625</v>
      </c>
      <c r="K11" s="65">
        <f>D11</f>
        <v>0.0015</v>
      </c>
      <c r="L11" s="65">
        <f>(1-D11)*H11*p_cure_early</f>
        <v>0.08986499999999999</v>
      </c>
      <c r="M11" s="65">
        <f>(1-D11)*(1-H11)*(1-p_progression)</f>
        <v>0.6739875000000001</v>
      </c>
      <c r="N11" s="65">
        <f>(1-D11)*(H11*(1-p_cure_early)+(1-H11)*p_progression)</f>
        <v>0.2346475</v>
      </c>
      <c r="O11" s="65">
        <f>D11</f>
        <v>0.0015</v>
      </c>
      <c r="P11" s="65">
        <f>1-Q11</f>
        <v>0.7488750000000001</v>
      </c>
      <c r="Q11" s="65">
        <f>1-(1-D11)*(1-p_death_advanced)</f>
        <v>0.25112499999999993</v>
      </c>
      <c r="R11" s="67">
        <f>R10*I10+S10*L10</f>
        <v>99652.62437382656</v>
      </c>
      <c r="S11" s="67">
        <f>R10*J10+S10*M10</f>
        <v>41.7432379546875</v>
      </c>
      <c r="T11" s="67">
        <f>S10*N10+T10*P10</f>
        <v>5.857388218750001</v>
      </c>
      <c r="U11" s="67">
        <f>U10+R10*K10+S10*O10+T10*Q10</f>
        <v>299.77500000000003</v>
      </c>
      <c r="V11" s="67">
        <f>R11+S11+T11</f>
        <v>99700.22499999999</v>
      </c>
      <c r="W11" s="67">
        <f>R11*J11</f>
        <v>24.875786359316457</v>
      </c>
      <c r="X11" s="67">
        <f>S11*(1-D11)*H11</f>
        <v>4.1680623097755465</v>
      </c>
      <c r="Y11" s="67">
        <f>S11*(1-D11)*(1-H11)*p_progression</f>
        <v>9.378140196994982</v>
      </c>
      <c r="Z11" s="67">
        <f>X11+Y11</f>
        <v>13.546202506770529</v>
      </c>
      <c r="AA11" s="67">
        <f>T11*(1-D11)*p_death_advanced</f>
        <v>1.462150534105469</v>
      </c>
      <c r="AB11" s="67">
        <f>(R11+S11)*G11</f>
        <v>0.0</v>
      </c>
      <c r="AC11" s="67">
        <f>G11*(R11*(1-screen_specificity)+S11*screen_sensitivity)</f>
        <v>0.0</v>
      </c>
      <c r="AD11" s="68">
        <f>AB11*cost_screen_test+AC11*cost_followup_test</f>
        <v>0.0</v>
      </c>
      <c r="AE11" s="68">
        <f>X11*cost_early_treatment</f>
        <v>62520.9346466332</v>
      </c>
      <c r="AF11" s="68">
        <f>T11*cost_advanced_year</f>
        <v>117147.76437500001</v>
      </c>
      <c r="AG11" s="68">
        <f>AD11+AE11+AF11</f>
        <v>179668.69902163322</v>
      </c>
      <c r="AH11" s="67">
        <f>V11</f>
        <v>99700.22499999999</v>
      </c>
      <c r="AI11" s="67">
        <f>R11*u_healthy+S11*u_early+T11*u_advanced</f>
        <v>89726.06525222572</v>
      </c>
      <c r="AJ11" s="69">
        <f>1/(1+disc_costs)^A11</f>
        <v>0.9425959091337544</v>
      </c>
      <c r="AK11" s="69">
        <f>1/(1+disc_effects)^A11</f>
        <v>0.9425959091337544</v>
      </c>
      <c r="AL11" s="68">
        <f>AG11*AJ11</f>
        <v>169354.98069717526</v>
      </c>
      <c r="AM11" s="67">
        <f>AI11*AK11</f>
        <v>84575.42204941626</v>
      </c>
      <c r="AN11" s="67">
        <f>AH11*AK11</f>
        <v>93977.02422471486</v>
      </c>
      <c r="AO11" s="64" t="str">
        <f>IF(AND(ABS(V11+U11-cohort_size)&lt;0.000001*cohort_size,MIN(I11:Q11)&gt;=0,MAX(I11:Q11)&lt;=1),"OK","CHECK")</f>
        <v>OK</v>
      </c>
    </row>
    <row r="12">
      <c r="A12" s="63">
        <f>A11+1</f>
        <v>3.0</v>
      </c>
      <c r="B12" s="63">
        <f>start_age+A12</f>
        <v>43.0</v>
      </c>
      <c r="C12" s="64" t="str">
        <f>INDEX(age_band_label,MATCH(B12,age_band_start,1))</f>
        <v>40-44</v>
      </c>
      <c r="D12" s="65">
        <f>INDEX(p_background_death,MATCH(B12,age_band_start,1))</f>
        <v>0.0015</v>
      </c>
      <c r="E12" s="65">
        <f>INDEX(p_cancer_onset,MATCH(B12,age_band_start,1))</f>
        <v>0.00025</v>
      </c>
      <c r="F12" s="63">
        <f>IF(AND($B$3="Yes",B12&gt;=$E$3,B12&lt;=$H$3),1,0)</f>
        <v>0.0</v>
      </c>
      <c r="G12" s="66">
        <f>F12*screen_participation</f>
        <v>0.0</v>
      </c>
      <c r="H12" s="65">
        <f>1-(1-p_detect_symptoms)*(1-G12*screen_sensitivity)</f>
        <v>0.09999999999999998</v>
      </c>
      <c r="I12" s="65">
        <f>1-J12-K12</f>
        <v>0.998250375</v>
      </c>
      <c r="J12" s="65">
        <f>(1-D12)*E12</f>
        <v>0.000249625</v>
      </c>
      <c r="K12" s="65">
        <f>D12</f>
        <v>0.0015</v>
      </c>
      <c r="L12" s="65">
        <f>(1-D12)*H12*p_cure_early</f>
        <v>0.08986499999999999</v>
      </c>
      <c r="M12" s="65">
        <f>(1-D12)*(1-H12)*(1-p_progression)</f>
        <v>0.6739875000000001</v>
      </c>
      <c r="N12" s="65">
        <f>(1-D12)*(H12*(1-p_cure_early)+(1-H12)*p_progression)</f>
        <v>0.2346475</v>
      </c>
      <c r="O12" s="65">
        <f>D12</f>
        <v>0.0015</v>
      </c>
      <c r="P12" s="65">
        <f>1-Q12</f>
        <v>0.7488750000000001</v>
      </c>
      <c r="Q12" s="65">
        <f>1-(1-D12)*(1-p_death_advanced)</f>
        <v>0.25112499999999993</v>
      </c>
      <c r="R12" s="67">
        <f>R11*I11+S11*L11</f>
        <v>99482.02090698532</v>
      </c>
      <c r="S12" s="67">
        <f>R11*J11+S11*M11</f>
        <v>53.0102069503014</v>
      </c>
      <c r="T12" s="67">
        <f>S11*N11+T11*P11</f>
        <v>14.181398030288943</v>
      </c>
      <c r="U12" s="67">
        <f>U11+R11*K11+S11*O11+T11*Q11</f>
        <v>450.78748803410554</v>
      </c>
      <c r="V12" s="67">
        <f>R12+S12+T12</f>
        <v>99549.2125119659</v>
      </c>
      <c r="W12" s="67">
        <f>R12*J12</f>
        <v>24.83319946890621</v>
      </c>
      <c r="X12" s="67">
        <f>S12*(1-D12)*H12</f>
        <v>5.293069163987594</v>
      </c>
      <c r="Y12" s="67">
        <f>S12*(1-D12)*(1-H12)*p_progression</f>
        <v>11.90940561897209</v>
      </c>
      <c r="Z12" s="67">
        <f>X12+Y12</f>
        <v>17.202474782959683</v>
      </c>
      <c r="AA12" s="67">
        <f>T12*(1-D12)*p_death_advanced</f>
        <v>3.5400314833108775</v>
      </c>
      <c r="AB12" s="67">
        <f>(R12+S12)*G12</f>
        <v>0.0</v>
      </c>
      <c r="AC12" s="67">
        <f>G12*(R12*(1-screen_specificity)+S12*screen_sensitivity)</f>
        <v>0.0</v>
      </c>
      <c r="AD12" s="68">
        <f>AB12*cost_screen_test+AC12*cost_followup_test</f>
        <v>0.0</v>
      </c>
      <c r="AE12" s="68">
        <f>X12*cost_early_treatment</f>
        <v>79396.03745981392</v>
      </c>
      <c r="AF12" s="68">
        <f>T12*cost_advanced_year</f>
        <v>283627.96060577885</v>
      </c>
      <c r="AG12" s="68">
        <f>AD12+AE12+AF12</f>
        <v>363023.9980655928</v>
      </c>
      <c r="AH12" s="67">
        <f>V12</f>
        <v>99549.2125119659</v>
      </c>
      <c r="AI12" s="67">
        <f>R12*u_healthy+S12*u_early+T12*u_advanced</f>
        <v>89586.67726111121</v>
      </c>
      <c r="AJ12" s="69">
        <f>1/(1+disc_costs)^A12</f>
        <v>0.9151416593531596</v>
      </c>
      <c r="AK12" s="69">
        <f>1/(1+disc_effects)^A12</f>
        <v>0.9151416593531596</v>
      </c>
      <c r="AL12" s="68">
        <f>AG12*AJ12</f>
        <v>332218.3839747648</v>
      </c>
      <c r="AM12" s="67">
        <f>AI12*AK12</f>
        <v>81984.50048466929</v>
      </c>
      <c r="AN12" s="67">
        <f>AH12*AK12</f>
        <v>91101.6315255008</v>
      </c>
      <c r="AO12" s="64" t="str">
        <f>IF(AND(ABS(V12+U12-cohort_size)&lt;0.000001*cohort_size,MIN(I12:Q12)&gt;=0,MAX(I12:Q12)&lt;=1),"OK","CHECK")</f>
        <v>OK</v>
      </c>
    </row>
    <row r="13">
      <c r="A13" s="63">
        <f>A12+1</f>
        <v>4.0</v>
      </c>
      <c r="B13" s="63">
        <f>start_age+A13</f>
        <v>44.0</v>
      </c>
      <c r="C13" s="64" t="str">
        <f>INDEX(age_band_label,MATCH(B13,age_band_start,1))</f>
        <v>40-44</v>
      </c>
      <c r="D13" s="65">
        <f>INDEX(p_background_death,MATCH(B13,age_band_start,1))</f>
        <v>0.0015</v>
      </c>
      <c r="E13" s="65">
        <f>INDEX(p_cancer_onset,MATCH(B13,age_band_start,1))</f>
        <v>0.00025</v>
      </c>
      <c r="F13" s="63">
        <f>IF(AND($B$3="Yes",B13&gt;=$E$3,B13&lt;=$H$3),1,0)</f>
        <v>0.0</v>
      </c>
      <c r="G13" s="66">
        <f>F13*screen_participation</f>
        <v>0.0</v>
      </c>
      <c r="H13" s="65">
        <f>1-(1-p_detect_symptoms)*(1-G13*screen_sensitivity)</f>
        <v>0.09999999999999998</v>
      </c>
      <c r="I13" s="65">
        <f>1-J13-K13</f>
        <v>0.998250375</v>
      </c>
      <c r="J13" s="65">
        <f>(1-D13)*E13</f>
        <v>0.000249625</v>
      </c>
      <c r="K13" s="65">
        <f>D13</f>
        <v>0.0015</v>
      </c>
      <c r="L13" s="65">
        <f>(1-D13)*H13*p_cure_early</f>
        <v>0.08986499999999999</v>
      </c>
      <c r="M13" s="65">
        <f>(1-D13)*(1-H13)*(1-p_progression)</f>
        <v>0.6739875000000001</v>
      </c>
      <c r="N13" s="65">
        <f>(1-D13)*(H13*(1-p_cure_early)+(1-H13)*p_progression)</f>
        <v>0.2346475</v>
      </c>
      <c r="O13" s="65">
        <f>D13</f>
        <v>0.0015</v>
      </c>
      <c r="P13" s="65">
        <f>1-Q13</f>
        <v>0.7488750000000001</v>
      </c>
      <c r="Q13" s="65">
        <f>1-(1-D13)*(1-p_death_advanced)</f>
        <v>0.25112499999999993</v>
      </c>
      <c r="R13" s="67">
        <f>R12*I12+S12*L12</f>
        <v>99312.72843840352</v>
      </c>
      <c r="S13" s="67">
        <f>R12*J12+S12*M12</f>
        <v>60.56141632582248</v>
      </c>
      <c r="T13" s="67">
        <f>S12*N12+T12*P12</f>
        <v>23.058806985303484</v>
      </c>
      <c r="U13" s="67">
        <f>U12+R12*K12+S12*O12+T12*Q12</f>
        <v>603.6513382853653</v>
      </c>
      <c r="V13" s="67">
        <f>R13+S13+T13</f>
        <v>99396.34866171464</v>
      </c>
      <c r="W13" s="67">
        <f>R13*J13</f>
        <v>24.79093983643648</v>
      </c>
      <c r="X13" s="67">
        <f>S13*(1-D13)*H13</f>
        <v>6.047057420133373</v>
      </c>
      <c r="Y13" s="67">
        <f>S13*(1-D13)*(1-H13)*p_progression</f>
        <v>13.605879195300094</v>
      </c>
      <c r="Z13" s="67">
        <f>X13+Y13</f>
        <v>19.652936615433468</v>
      </c>
      <c r="AA13" s="67">
        <f>T13*(1-D13)*p_death_advanced</f>
        <v>5.756054693706383</v>
      </c>
      <c r="AB13" s="67">
        <f>(R13+S13)*G13</f>
        <v>0.0</v>
      </c>
      <c r="AC13" s="67">
        <f>G13*(R13*(1-screen_specificity)+S13*screen_sensitivity)</f>
        <v>0.0</v>
      </c>
      <c r="AD13" s="68">
        <f>AB13*cost_screen_test+AC13*cost_followup_test</f>
        <v>0.0</v>
      </c>
      <c r="AE13" s="68">
        <f>X13*cost_early_treatment</f>
        <v>90705.8613020006</v>
      </c>
      <c r="AF13" s="68">
        <f>T13*cost_advanced_year</f>
        <v>461176.13970606966</v>
      </c>
      <c r="AG13" s="68">
        <f>AD13+AE13+AF13</f>
        <v>551882.0010080703</v>
      </c>
      <c r="AH13" s="67">
        <f>V13</f>
        <v>99396.34866171464</v>
      </c>
      <c r="AI13" s="67">
        <f>R13*u_healthy+S13*u_early+T13*u_advanced</f>
        <v>89445.61514228204</v>
      </c>
      <c r="AJ13" s="69">
        <f>1/(1+disc_costs)^A13</f>
        <v>0.8884870479156888</v>
      </c>
      <c r="AK13" s="69">
        <f>1/(1+disc_effects)^A13</f>
        <v>0.8884870479156888</v>
      </c>
      <c r="AL13" s="68">
        <f>AG13*AJ13</f>
        <v>490340.00987346354</v>
      </c>
      <c r="AM13" s="67">
        <f>AI13*AK13</f>
        <v>79471.270546769</v>
      </c>
      <c r="AN13" s="67">
        <f>AH13*AK13</f>
        <v>88312.36839604536</v>
      </c>
      <c r="AO13" s="64" t="str">
        <f>IF(AND(ABS(V13+U13-cohort_size)&lt;0.000001*cohort_size,MIN(I13:Q13)&gt;=0,MAX(I13:Q13)&lt;=1),"OK","CHECK")</f>
        <v>OK</v>
      </c>
    </row>
    <row r="14">
      <c r="A14" s="63">
        <f>A13+1</f>
        <v>5.0</v>
      </c>
      <c r="B14" s="63">
        <f>start_age+A14</f>
        <v>45.0</v>
      </c>
      <c r="C14" s="64" t="str">
        <f>INDEX(age_band_label,MATCH(B14,age_band_start,1))</f>
        <v>45-49</v>
      </c>
      <c r="D14" s="65">
        <f>INDEX(p_background_death,MATCH(B14,age_band_start,1))</f>
        <v>0.0023</v>
      </c>
      <c r="E14" s="65">
        <f>INDEX(p_cancer_onset,MATCH(B14,age_band_start,1))</f>
        <v>0.00035</v>
      </c>
      <c r="F14" s="63">
        <f>IF(AND($B$3="Yes",B14&gt;=$E$3,B14&lt;=$H$3),1,0)</f>
        <v>0.0</v>
      </c>
      <c r="G14" s="66">
        <f>F14*screen_participation</f>
        <v>0.0</v>
      </c>
      <c r="H14" s="65">
        <f>1-(1-p_detect_symptoms)*(1-G14*screen_sensitivity)</f>
        <v>0.09999999999999998</v>
      </c>
      <c r="I14" s="65">
        <f>1-J14-K14</f>
        <v>0.9973508050000001</v>
      </c>
      <c r="J14" s="65">
        <f>(1-D14)*E14</f>
        <v>0.000349195</v>
      </c>
      <c r="K14" s="65">
        <f>D14</f>
        <v>0.0023</v>
      </c>
      <c r="L14" s="65">
        <f>(1-D14)*H14*p_cure_early</f>
        <v>0.08979299999999998</v>
      </c>
      <c r="M14" s="65">
        <f>(1-D14)*(1-H14)*(1-p_progression)</f>
        <v>0.6734475</v>
      </c>
      <c r="N14" s="65">
        <f>(1-D14)*(H14*(1-p_cure_early)+(1-H14)*p_progression)</f>
        <v>0.2344595</v>
      </c>
      <c r="O14" s="65">
        <f>D14</f>
        <v>0.0023</v>
      </c>
      <c r="P14" s="65">
        <f>1-Q14</f>
        <v>0.748275</v>
      </c>
      <c r="Q14" s="65">
        <f>1-(1-D14)*(1-p_death_advanced)</f>
        <v>0.251725</v>
      </c>
      <c r="R14" s="67">
        <f>R13*I13+S13*L13</f>
        <v>99144.4107575876</v>
      </c>
      <c r="S14" s="67">
        <f>R13*J13+S13*M13</f>
        <v>65.60857742233677</v>
      </c>
      <c r="T14" s="67">
        <f>S13*N13+T13*P13</f>
        <v>31.47874901843258</v>
      </c>
      <c r="U14" s="67">
        <f>U13+R13*K13+S13*O13+T13*Q13</f>
        <v>758.5019159716437</v>
      </c>
      <c r="V14" s="67">
        <f>R14+S14+T14</f>
        <v>99241.49808402837</v>
      </c>
      <c r="W14" s="67">
        <f>R14*J14</f>
        <v>34.6207325144958</v>
      </c>
      <c r="X14" s="67">
        <f>S14*(1-D14)*H14</f>
        <v>6.545767769426538</v>
      </c>
      <c r="Y14" s="67">
        <f>S14*(1-D14)*(1-H14)*p_progression</f>
        <v>14.727977481209715</v>
      </c>
      <c r="Z14" s="67">
        <f>X14+Y14</f>
        <v>21.273745250636253</v>
      </c>
      <c r="AA14" s="67">
        <f>T14*(1-D14)*p_death_advanced</f>
        <v>7.851586973922546</v>
      </c>
      <c r="AB14" s="67">
        <f>(R14+S14)*G14</f>
        <v>0.0</v>
      </c>
      <c r="AC14" s="67">
        <f>G14*(R14*(1-screen_specificity)+S14*screen_sensitivity)</f>
        <v>0.0</v>
      </c>
      <c r="AD14" s="68">
        <f>AB14*cost_screen_test+AC14*cost_followup_test</f>
        <v>0.0</v>
      </c>
      <c r="AE14" s="68">
        <f>X14*cost_early_treatment</f>
        <v>98186.51654139807</v>
      </c>
      <c r="AF14" s="68">
        <f>T14*cost_advanced_year</f>
        <v>629574.9803686516</v>
      </c>
      <c r="AG14" s="68">
        <f>AD14+AE14+AF14</f>
        <v>727761.4969100496</v>
      </c>
      <c r="AH14" s="67">
        <f>V14</f>
        <v>99241.49808402837</v>
      </c>
      <c r="AI14" s="67">
        <f>R14*u_healthy+S14*u_early+T14*u_advanced</f>
        <v>89303.05028459796</v>
      </c>
      <c r="AJ14" s="69">
        <f>1/(1+disc_costs)^A14</f>
        <v>0.8626087843841639</v>
      </c>
      <c r="AK14" s="69">
        <f>1/(1+disc_effects)^A14</f>
        <v>0.8626087843841639</v>
      </c>
      <c r="AL14" s="68">
        <f>AG14*AJ14</f>
        <v>627773.4601711773</v>
      </c>
      <c r="AM14" s="67">
        <f>AI14*AK14</f>
        <v>77033.59564779491</v>
      </c>
      <c r="AN14" s="67">
        <f>AH14*AK14</f>
        <v>85606.58802272704</v>
      </c>
      <c r="AO14" s="64" t="str">
        <f>IF(AND(ABS(V14+U14-cohort_size)&lt;0.000001*cohort_size,MIN(I14:Q14)&gt;=0,MAX(I14:Q14)&lt;=1),"OK","CHECK")</f>
        <v>OK</v>
      </c>
    </row>
    <row r="15">
      <c r="A15" s="63">
        <f>A14+1</f>
        <v>6.0</v>
      </c>
      <c r="B15" s="63">
        <f>start_age+A15</f>
        <v>46.0</v>
      </c>
      <c r="C15" s="64" t="str">
        <f>INDEX(age_band_label,MATCH(B15,age_band_start,1))</f>
        <v>45-49</v>
      </c>
      <c r="D15" s="65">
        <f>INDEX(p_background_death,MATCH(B15,age_band_start,1))</f>
        <v>0.0023</v>
      </c>
      <c r="E15" s="65">
        <f>INDEX(p_cancer_onset,MATCH(B15,age_band_start,1))</f>
        <v>0.00035</v>
      </c>
      <c r="F15" s="63">
        <f>IF(AND($B$3="Yes",B15&gt;=$E$3,B15&lt;=$H$3),1,0)</f>
        <v>0.0</v>
      </c>
      <c r="G15" s="66">
        <f>F15*screen_participation</f>
        <v>0.0</v>
      </c>
      <c r="H15" s="65">
        <f>1-(1-p_detect_symptoms)*(1-G15*screen_sensitivity)</f>
        <v>0.09999999999999998</v>
      </c>
      <c r="I15" s="65">
        <f>1-J15-K15</f>
        <v>0.9973508050000001</v>
      </c>
      <c r="J15" s="65">
        <f>(1-D15)*E15</f>
        <v>0.000349195</v>
      </c>
      <c r="K15" s="65">
        <f>D15</f>
        <v>0.0023</v>
      </c>
      <c r="L15" s="65">
        <f>(1-D15)*H15*p_cure_early</f>
        <v>0.08979299999999998</v>
      </c>
      <c r="M15" s="65">
        <f>(1-D15)*(1-H15)*(1-p_progression)</f>
        <v>0.6734475</v>
      </c>
      <c r="N15" s="65">
        <f>(1-D15)*(H15*(1-p_cure_early)+(1-H15)*p_progression)</f>
        <v>0.2344595</v>
      </c>
      <c r="O15" s="65">
        <f>D15</f>
        <v>0.0023</v>
      </c>
      <c r="P15" s="65">
        <f>1-Q15</f>
        <v>0.748275</v>
      </c>
      <c r="Q15" s="65">
        <f>1-(1-D15)*(1-p_death_advanced)</f>
        <v>0.251725</v>
      </c>
      <c r="R15" s="67">
        <f>R14*I14+S14*L14</f>
        <v>98887.64907132313</v>
      </c>
      <c r="S15" s="67">
        <f>R14*J14+S14*M14</f>
        <v>78.80466495812493</v>
      </c>
      <c r="T15" s="67">
        <f>S14*N14+T14*P14</f>
        <v>38.937315179920006</v>
      </c>
      <c r="U15" s="67">
        <f>U14+R14*K14+S14*O14+T14*Q14</f>
        <v>994.6089485388316</v>
      </c>
      <c r="V15" s="67">
        <f>R15+S15+T15</f>
        <v>99005.39105146118</v>
      </c>
      <c r="W15" s="67">
        <f>R15*J15</f>
        <v>34.53107261746068</v>
      </c>
      <c r="X15" s="67">
        <f>S15*(1-D15)*H15</f>
        <v>7.862341422872123</v>
      </c>
      <c r="Y15" s="67">
        <f>S15*(1-D15)*(1-H15)*p_progression</f>
        <v>17.69026820146228</v>
      </c>
      <c r="Z15" s="67">
        <f>X15+Y15</f>
        <v>25.552609624334405</v>
      </c>
      <c r="AA15" s="67">
        <f>T15*(1-D15)*p_death_advanced</f>
        <v>9.711939838751547</v>
      </c>
      <c r="AB15" s="67">
        <f>(R15+S15)*G15</f>
        <v>0.0</v>
      </c>
      <c r="AC15" s="67">
        <f>G15*(R15*(1-screen_specificity)+S15*screen_sensitivity)</f>
        <v>0.0</v>
      </c>
      <c r="AD15" s="68">
        <f>AB15*cost_screen_test+AC15*cost_followup_test</f>
        <v>0.0</v>
      </c>
      <c r="AE15" s="68">
        <f>X15*cost_early_treatment</f>
        <v>117935.12134308185</v>
      </c>
      <c r="AF15" s="68">
        <f>T15*cost_advanced_year</f>
        <v>778746.3035984001</v>
      </c>
      <c r="AG15" s="68">
        <f>AD15+AE15+AF15</f>
        <v>896681.4249414819</v>
      </c>
      <c r="AH15" s="67">
        <f>V15</f>
        <v>99005.39105146118</v>
      </c>
      <c r="AI15" s="67">
        <f>R15*u_healthy+S15*u_early+T15*u_advanced</f>
        <v>89087.28365275418</v>
      </c>
      <c r="AJ15" s="69">
        <f>1/(1+disc_costs)^A15</f>
        <v>0.8374842566836542</v>
      </c>
      <c r="AK15" s="69">
        <f>1/(1+disc_effects)^A15</f>
        <v>0.8374842566836542</v>
      </c>
      <c r="AL15" s="68">
        <f>AG15*AJ15</f>
        <v>750956.5766491569</v>
      </c>
      <c r="AM15" s="67">
        <f>AI15*AK15</f>
        <v>74609.1975298927</v>
      </c>
      <c r="AN15" s="67">
        <f>AH15*AK15</f>
        <v>82915.45633240747</v>
      </c>
      <c r="AO15" s="64" t="str">
        <f>IF(AND(ABS(V15+U15-cohort_size)&lt;0.000001*cohort_size,MIN(I15:Q15)&gt;=0,MAX(I15:Q15)&lt;=1),"OK","CHECK")</f>
        <v>OK</v>
      </c>
    </row>
    <row r="16">
      <c r="A16" s="63">
        <f>A15+1</f>
        <v>7.0</v>
      </c>
      <c r="B16" s="63">
        <f>start_age+A16</f>
        <v>47.0</v>
      </c>
      <c r="C16" s="64" t="str">
        <f>INDEX(age_band_label,MATCH(B16,age_band_start,1))</f>
        <v>45-49</v>
      </c>
      <c r="D16" s="65">
        <f>INDEX(p_background_death,MATCH(B16,age_band_start,1))</f>
        <v>0.0023</v>
      </c>
      <c r="E16" s="65">
        <f>INDEX(p_cancer_onset,MATCH(B16,age_band_start,1))</f>
        <v>0.00035</v>
      </c>
      <c r="F16" s="63">
        <f>IF(AND($B$3="Yes",B16&gt;=$E$3,B16&lt;=$H$3),1,0)</f>
        <v>0.0</v>
      </c>
      <c r="G16" s="66">
        <f>F16*screen_participation</f>
        <v>0.0</v>
      </c>
      <c r="H16" s="65">
        <f>1-(1-p_detect_symptoms)*(1-G16*screen_sensitivity)</f>
        <v>0.09999999999999998</v>
      </c>
      <c r="I16" s="65">
        <f>1-J16-K16</f>
        <v>0.9973508050000001</v>
      </c>
      <c r="J16" s="65">
        <f>(1-D16)*E16</f>
        <v>0.000349195</v>
      </c>
      <c r="K16" s="65">
        <f>D16</f>
        <v>0.0023</v>
      </c>
      <c r="L16" s="65">
        <f>(1-D16)*H16*p_cure_early</f>
        <v>0.08979299999999998</v>
      </c>
      <c r="M16" s="65">
        <f>(1-D16)*(1-H16)*(1-p_progression)</f>
        <v>0.6734475</v>
      </c>
      <c r="N16" s="65">
        <f>(1-D16)*(H16*(1-p_cure_early)+(1-H16)*p_progression)</f>
        <v>0.2344595</v>
      </c>
      <c r="O16" s="65">
        <f>D16</f>
        <v>0.0023</v>
      </c>
      <c r="P16" s="65">
        <f>1-Q16</f>
        <v>0.748275</v>
      </c>
      <c r="Q16" s="65">
        <f>1-(1-D16)*(1-p_death_advanced)</f>
        <v>0.251725</v>
      </c>
      <c r="R16" s="67">
        <f>R15*I15+S15*L15</f>
        <v>98632.75251312222</v>
      </c>
      <c r="S16" s="67">
        <f>R15*J15+S15*M15</f>
        <v>87.60187722184752</v>
      </c>
      <c r="T16" s="67">
        <f>S15*N15+T15*P15</f>
        <v>47.61232186000413</v>
      </c>
      <c r="U16" s="67">
        <f>U15+R15*K15+S15*O15+T15*Q15</f>
        <v>1232.0332877959438</v>
      </c>
      <c r="V16" s="67">
        <f>R16+S16+T16</f>
        <v>98767.96671220407</v>
      </c>
      <c r="W16" s="67">
        <f>R16*J16</f>
        <v>34.44206401381972</v>
      </c>
      <c r="X16" s="67">
        <f>S16*(1-D16)*H16</f>
        <v>8.740039290423725</v>
      </c>
      <c r="Y16" s="67">
        <f>S16*(1-D16)*(1-H16)*p_progression</f>
        <v>19.665088403453385</v>
      </c>
      <c r="Z16" s="67">
        <f>X16+Y16</f>
        <v>28.405127693877112</v>
      </c>
      <c r="AA16" s="67">
        <f>T16*(1-D16)*p_death_advanced</f>
        <v>11.875703379931531</v>
      </c>
      <c r="AB16" s="67">
        <f>(R16+S16)*G16</f>
        <v>0.0</v>
      </c>
      <c r="AC16" s="67">
        <f>G16*(R16*(1-screen_specificity)+S16*screen_sensitivity)</f>
        <v>0.0</v>
      </c>
      <c r="AD16" s="68">
        <f>AB16*cost_screen_test+AC16*cost_followup_test</f>
        <v>0.0</v>
      </c>
      <c r="AE16" s="68">
        <f>X16*cost_early_treatment</f>
        <v>131100.5893563559</v>
      </c>
      <c r="AF16" s="68">
        <f>T16*cost_advanced_year</f>
        <v>952246.4372000826</v>
      </c>
      <c r="AG16" s="68">
        <f>AD16+AE16+AF16</f>
        <v>1083347.0265564385</v>
      </c>
      <c r="AH16" s="67">
        <f>V16</f>
        <v>98767.96671220407</v>
      </c>
      <c r="AI16" s="67">
        <f>R16*u_healthy+S16*u_early+T16*u_advanced</f>
        <v>88870.12563447157</v>
      </c>
      <c r="AJ16" s="69">
        <f>1/(1+disc_costs)^A16</f>
        <v>0.8130915113433536</v>
      </c>
      <c r="AK16" s="69">
        <f>1/(1+disc_effects)^A16</f>
        <v>0.8130915113433536</v>
      </c>
      <c r="AL16" s="68">
        <f>AG16*AJ16</f>
        <v>880860.2711321028</v>
      </c>
      <c r="AM16" s="67">
        <f>AI16*AK16</f>
        <v>72259.54476540619</v>
      </c>
      <c r="AN16" s="67">
        <f>AH16*AK16</f>
        <v>80307.39532633605</v>
      </c>
      <c r="AO16" s="64" t="str">
        <f>IF(AND(ABS(V16+U16-cohort_size)&lt;0.000001*cohort_size,MIN(I16:Q16)&gt;=0,MAX(I16:Q16)&lt;=1),"OK","CHECK")</f>
        <v>OK</v>
      </c>
    </row>
    <row r="17">
      <c r="A17" s="63">
        <f>A16+1</f>
        <v>8.0</v>
      </c>
      <c r="B17" s="63">
        <f>start_age+A17</f>
        <v>48.0</v>
      </c>
      <c r="C17" s="64" t="str">
        <f>INDEX(age_band_label,MATCH(B17,age_band_start,1))</f>
        <v>45-49</v>
      </c>
      <c r="D17" s="65">
        <f>INDEX(p_background_death,MATCH(B17,age_band_start,1))</f>
        <v>0.0023</v>
      </c>
      <c r="E17" s="65">
        <f>INDEX(p_cancer_onset,MATCH(B17,age_band_start,1))</f>
        <v>0.00035</v>
      </c>
      <c r="F17" s="63">
        <f>IF(AND($B$3="Yes",B17&gt;=$E$3,B17&lt;=$H$3),1,0)</f>
        <v>0.0</v>
      </c>
      <c r="G17" s="66">
        <f>F17*screen_participation</f>
        <v>0.0</v>
      </c>
      <c r="H17" s="65">
        <f>1-(1-p_detect_symptoms)*(1-G17*screen_sensitivity)</f>
        <v>0.09999999999999998</v>
      </c>
      <c r="I17" s="65">
        <f>1-J17-K17</f>
        <v>0.9973508050000001</v>
      </c>
      <c r="J17" s="65">
        <f>(1-D17)*E17</f>
        <v>0.000349195</v>
      </c>
      <c r="K17" s="65">
        <f>D17</f>
        <v>0.0023</v>
      </c>
      <c r="L17" s="65">
        <f>(1-D17)*H17*p_cure_early</f>
        <v>0.08979299999999998</v>
      </c>
      <c r="M17" s="65">
        <f>(1-D17)*(1-H17)*(1-p_progression)</f>
        <v>0.6734475</v>
      </c>
      <c r="N17" s="65">
        <f>(1-D17)*(H17*(1-p_cure_early)+(1-H17)*p_progression)</f>
        <v>0.2344595</v>
      </c>
      <c r="O17" s="65">
        <f>D17</f>
        <v>0.0023</v>
      </c>
      <c r="P17" s="65">
        <f>1-Q17</f>
        <v>0.748275</v>
      </c>
      <c r="Q17" s="65">
        <f>1-(1-D17)*(1-p_death_advanced)</f>
        <v>0.251725</v>
      </c>
      <c r="R17" s="67">
        <f>R16*I16+S16*L16</f>
        <v>98379.32115368961</v>
      </c>
      <c r="S17" s="67">
        <f>R16*J16+S16*M16</f>
        <v>93.43732922417988</v>
      </c>
      <c r="T17" s="67">
        <f>S16*N16+T16*P16</f>
        <v>56.166202472290344</v>
      </c>
      <c r="U17" s="67">
        <f>U16+R16*K16+S16*O16+T16*Q16</f>
        <v>1471.0753146139446</v>
      </c>
      <c r="V17" s="67">
        <f>R17+S17+T17</f>
        <v>98528.92468538608</v>
      </c>
      <c r="W17" s="67">
        <f>R17*J17</f>
        <v>34.35356705026265</v>
      </c>
      <c r="X17" s="67">
        <f>S17*(1-D17)*H17</f>
        <v>9.322242336696425</v>
      </c>
      <c r="Y17" s="67">
        <f>S17*(1-D17)*(1-H17)*p_progression</f>
        <v>20.97504525756696</v>
      </c>
      <c r="Z17" s="67">
        <f>X17+Y17</f>
        <v>30.297287594263388</v>
      </c>
      <c r="AA17" s="67">
        <f>T17*(1-D17)*p_death_advanced</f>
        <v>14.009255051651019</v>
      </c>
      <c r="AB17" s="67">
        <f>(R17+S17)*G17</f>
        <v>0.0</v>
      </c>
      <c r="AC17" s="67">
        <f>G17*(R17*(1-screen_specificity)+S17*screen_sensitivity)</f>
        <v>0.0</v>
      </c>
      <c r="AD17" s="68">
        <f>AB17*cost_screen_test+AC17*cost_followup_test</f>
        <v>0.0</v>
      </c>
      <c r="AE17" s="68">
        <f>X17*cost_early_treatment</f>
        <v>139833.63505044638</v>
      </c>
      <c r="AF17" s="68">
        <f>T17*cost_advanced_year</f>
        <v>1123324.0494458068</v>
      </c>
      <c r="AG17" s="68">
        <f>AD17+AE17+AF17</f>
        <v>1263157.6844962533</v>
      </c>
      <c r="AH17" s="67">
        <f>V17</f>
        <v>98528.92468538608</v>
      </c>
      <c r="AI17" s="67">
        <f>R17*u_healthy+S17*u_early+T17*u_advanced</f>
        <v>88651.70217952097</v>
      </c>
      <c r="AJ17" s="69">
        <f>1/(1+disc_costs)^A17</f>
        <v>0.7894092343139355</v>
      </c>
      <c r="AK17" s="69">
        <f>1/(1+disc_effects)^A17</f>
        <v>0.7894092343139355</v>
      </c>
      <c r="AL17" s="68">
        <f>AG17*AJ17</f>
        <v>997148.340535951</v>
      </c>
      <c r="AM17" s="67">
        <f>AI17*AK17</f>
        <v>69982.4723381627</v>
      </c>
      <c r="AN17" s="67">
        <f>AH17*AK17</f>
        <v>77779.64299366604</v>
      </c>
      <c r="AO17" s="64" t="str">
        <f>IF(AND(ABS(V17+U17-cohort_size)&lt;0.000001*cohort_size,MIN(I17:Q17)&gt;=0,MAX(I17:Q17)&lt;=1),"OK","CHECK")</f>
        <v>OK</v>
      </c>
    </row>
    <row r="18">
      <c r="A18" s="63">
        <f>A17+1</f>
        <v>9.0</v>
      </c>
      <c r="B18" s="63">
        <f>start_age+A18</f>
        <v>49.0</v>
      </c>
      <c r="C18" s="64" t="str">
        <f>INDEX(age_band_label,MATCH(B18,age_band_start,1))</f>
        <v>45-49</v>
      </c>
      <c r="D18" s="65">
        <f>INDEX(p_background_death,MATCH(B18,age_band_start,1))</f>
        <v>0.0023</v>
      </c>
      <c r="E18" s="65">
        <f>INDEX(p_cancer_onset,MATCH(B18,age_band_start,1))</f>
        <v>0.00035</v>
      </c>
      <c r="F18" s="63">
        <f>IF(AND($B$3="Yes",B18&gt;=$E$3,B18&lt;=$H$3),1,0)</f>
        <v>0.0</v>
      </c>
      <c r="G18" s="66">
        <f>F18*screen_participation</f>
        <v>0.0</v>
      </c>
      <c r="H18" s="65">
        <f>1-(1-p_detect_symptoms)*(1-G18*screen_sensitivity)</f>
        <v>0.09999999999999998</v>
      </c>
      <c r="I18" s="65">
        <f>1-J18-K18</f>
        <v>0.9973508050000001</v>
      </c>
      <c r="J18" s="65">
        <f>(1-D18)*E18</f>
        <v>0.000349195</v>
      </c>
      <c r="K18" s="65">
        <f>D18</f>
        <v>0.0023</v>
      </c>
      <c r="L18" s="65">
        <f>(1-D18)*H18*p_cure_early</f>
        <v>0.08979299999999998</v>
      </c>
      <c r="M18" s="65">
        <f>(1-D18)*(1-H18)*(1-p_progression)</f>
        <v>0.6734475</v>
      </c>
      <c r="N18" s="65">
        <f>(1-D18)*(H18*(1-p_cure_early)+(1-H18)*p_progression)</f>
        <v>0.2344595</v>
      </c>
      <c r="O18" s="65">
        <f>D18</f>
        <v>0.0023</v>
      </c>
      <c r="P18" s="65">
        <f>1-Q18</f>
        <v>0.748275</v>
      </c>
      <c r="Q18" s="65">
        <f>1-(1-D18)*(1-p_death_advanced)</f>
        <v>0.251725</v>
      </c>
      <c r="R18" s="67">
        <f>R17*I17+S17*L17</f>
        <v>98127.0851660889</v>
      </c>
      <c r="S18" s="67">
        <f>R17*J17+S17*M17</f>
        <v>97.27870282296352</v>
      </c>
      <c r="T18" s="67">
        <f>S17*N17+T17*P17</f>
        <v>63.93503464618966</v>
      </c>
      <c r="U18" s="67">
        <f>U17+R17*K17+S17*O17+T17*Q17</f>
        <v>1711.7010964419835</v>
      </c>
      <c r="V18" s="67">
        <f>R18+S18+T18</f>
        <v>98288.29890355805</v>
      </c>
      <c r="W18" s="67">
        <f>R18*J18</f>
        <v>34.26548750457241</v>
      </c>
      <c r="X18" s="67">
        <f>S18*(1-D18)*H18</f>
        <v>9.705496180647069</v>
      </c>
      <c r="Y18" s="67">
        <f>S18*(1-D18)*(1-H18)*p_progression</f>
        <v>21.83736640645591</v>
      </c>
      <c r="Z18" s="67">
        <f>X18+Y18</f>
        <v>31.54286258710298</v>
      </c>
      <c r="AA18" s="67">
        <f>T18*(1-D18)*p_death_advanced</f>
        <v>15.946996016625857</v>
      </c>
      <c r="AB18" s="67">
        <f>(R18+S18)*G18</f>
        <v>0.0</v>
      </c>
      <c r="AC18" s="67">
        <f>G18*(R18*(1-screen_specificity)+S18*screen_sensitivity)</f>
        <v>0.0</v>
      </c>
      <c r="AD18" s="68">
        <f>AB18*cost_screen_test+AC18*cost_followup_test</f>
        <v>0.0</v>
      </c>
      <c r="AE18" s="68">
        <f>X18*cost_early_treatment</f>
        <v>145582.44270970603</v>
      </c>
      <c r="AF18" s="68">
        <f>T18*cost_advanced_year</f>
        <v>1278700.6929237933</v>
      </c>
      <c r="AG18" s="68">
        <f>AD18+AE18+AF18</f>
        <v>1424283.1356334994</v>
      </c>
      <c r="AH18" s="67">
        <f>V18</f>
        <v>98288.29890355805</v>
      </c>
      <c r="AI18" s="67">
        <f>R18*u_healthy+S18*u_early+T18*u_advanced</f>
        <v>88432.22781593492</v>
      </c>
      <c r="AJ18" s="69">
        <f>1/(1+disc_costs)^A18</f>
        <v>0.7664167323436267</v>
      </c>
      <c r="AK18" s="69">
        <f>1/(1+disc_effects)^A18</f>
        <v>0.7664167323436267</v>
      </c>
      <c r="AL18" s="68">
        <f>AG18*AJ18</f>
        <v>1091594.4267443612</v>
      </c>
      <c r="AM18" s="67">
        <f>AI18*AK18</f>
        <v>67775.93907655602</v>
      </c>
      <c r="AN18" s="67">
        <f>AH18*AK18</f>
        <v>75329.79687327864</v>
      </c>
      <c r="AO18" s="64" t="str">
        <f>IF(AND(ABS(V18+U18-cohort_size)&lt;0.000001*cohort_size,MIN(I18:Q18)&gt;=0,MAX(I18:Q18)&lt;=1),"OK","CHECK")</f>
        <v>OK</v>
      </c>
    </row>
    <row r="19">
      <c r="A19" s="63">
        <f>A18+1</f>
        <v>10.0</v>
      </c>
      <c r="B19" s="63">
        <f>start_age+A19</f>
        <v>50.0</v>
      </c>
      <c r="C19" s="64" t="str">
        <f>INDEX(age_band_label,MATCH(B19,age_band_start,1))</f>
        <v>50-54</v>
      </c>
      <c r="D19" s="65">
        <f>INDEX(p_background_death,MATCH(B19,age_band_start,1))</f>
        <v>0.0036</v>
      </c>
      <c r="E19" s="65">
        <f>INDEX(p_cancer_onset,MATCH(B19,age_band_start,1))</f>
        <v>0.00055</v>
      </c>
      <c r="F19" s="63">
        <f>IF(AND($B$3="Yes",B19&gt;=$E$3,B19&lt;=$H$3),1,0)</f>
        <v>1.0</v>
      </c>
      <c r="G19" s="66">
        <f>F19*screen_participation</f>
        <v>0.6</v>
      </c>
      <c r="H19" s="65">
        <f>1-(1-p_detect_symptoms)*(1-G19*screen_sensitivity)</f>
        <v>0.47799999999999987</v>
      </c>
      <c r="I19" s="65">
        <f>1-J19-K19</f>
        <v>0.99585198</v>
      </c>
      <c r="J19" s="65">
        <f>(1-D19)*E19</f>
        <v>0.00054802</v>
      </c>
      <c r="K19" s="65">
        <f>D19</f>
        <v>0.0036</v>
      </c>
      <c r="L19" s="65">
        <f>(1-D19)*H19*p_cure_early</f>
        <v>0.42865127999999986</v>
      </c>
      <c r="M19" s="65">
        <f>(1-D19)*(1-H19)*(1-p_progression)</f>
        <v>0.39009060000000007</v>
      </c>
      <c r="N19" s="65">
        <f>(1-D19)*(H19*(1-p_cure_early)+(1-H19)*p_progression)</f>
        <v>0.17765812</v>
      </c>
      <c r="O19" s="65">
        <f>D19</f>
        <v>0.0036</v>
      </c>
      <c r="P19" s="65">
        <f>1-Q19</f>
        <v>0.7473</v>
      </c>
      <c r="Q19" s="65">
        <f>1-(1-D19)*(1-p_death_advanced)</f>
        <v>0.25270000000000004</v>
      </c>
      <c r="R19" s="67">
        <f>R18*I18+S18*L18</f>
        <v>97875.86232926491</v>
      </c>
      <c r="S19" s="67">
        <f>R18*J18+S18*M18</f>
        <v>99.77758672394015</v>
      </c>
      <c r="T19" s="67">
        <f>S18*N18+T18*P18</f>
        <v>70.64890407439819</v>
      </c>
      <c r="U19" s="67">
        <f>U18+R18*K18+S18*O18+T18*Q18</f>
        <v>1953.7111799367929</v>
      </c>
      <c r="V19" s="67">
        <f>R19+S19+T19</f>
        <v>98046.28882006326</v>
      </c>
      <c r="W19" s="67">
        <f>R19*J19</f>
        <v>53.637930073683755</v>
      </c>
      <c r="X19" s="67">
        <f>S19*(1-D19)*H19</f>
        <v>47.52198918280882</v>
      </c>
      <c r="Y19" s="67">
        <f>S19*(1-D19)*(1-H19)*p_progression</f>
        <v>12.974099557231286</v>
      </c>
      <c r="Z19" s="67">
        <f>X19+Y19</f>
        <v>60.4960887400401</v>
      </c>
      <c r="AA19" s="67">
        <f>T19*(1-D19)*p_death_advanced</f>
        <v>17.59864200493259</v>
      </c>
      <c r="AB19" s="67">
        <f>(R19+S19)*G19</f>
        <v>58785.38394959331</v>
      </c>
      <c r="AC19" s="67">
        <f>G19*(R19*(1-screen_specificity)+S19*screen_sensitivity)</f>
        <v>4152.692804253178</v>
      </c>
      <c r="AD19" s="68">
        <f>AB19*cost_screen_test+AC19*cost_followup_test</f>
        <v>5916254.322740978</v>
      </c>
      <c r="AE19" s="68">
        <f>X19*cost_early_treatment</f>
        <v>712829.8377421323</v>
      </c>
      <c r="AF19" s="68">
        <f>T19*cost_advanced_year</f>
        <v>1412978.0814879637</v>
      </c>
      <c r="AG19" s="68">
        <f>AD19+AE19+AF19</f>
        <v>8042062.241971074</v>
      </c>
      <c r="AH19" s="67">
        <f>V19</f>
        <v>98046.28882006326</v>
      </c>
      <c r="AI19" s="67">
        <f>R19*u_healthy+S19*u_early+T19*u_advanced</f>
        <v>88211.94394229469</v>
      </c>
      <c r="AJ19" s="69">
        <f>1/(1+disc_costs)^A19</f>
        <v>0.7440939148967249</v>
      </c>
      <c r="AK19" s="69">
        <f>1/(1+disc_effects)^A19</f>
        <v>0.7440939148967249</v>
      </c>
      <c r="AL19" s="68">
        <f>AG19*AJ19</f>
        <v>5984049.577471389</v>
      </c>
      <c r="AM19" s="67">
        <f>AI19*AK19</f>
        <v>65637.9707086725</v>
      </c>
      <c r="AN19" s="67">
        <f>AH19*AK19</f>
        <v>72955.64688921586</v>
      </c>
      <c r="AO19" s="64" t="str">
        <f>IF(AND(ABS(V19+U19-cohort_size)&lt;0.000001*cohort_size,MIN(I19:Q19)&gt;=0,MAX(I19:Q19)&lt;=1),"OK","CHECK")</f>
        <v>OK</v>
      </c>
    </row>
    <row r="20">
      <c r="A20" s="63">
        <f>A19+1</f>
        <v>11.0</v>
      </c>
      <c r="B20" s="63">
        <f>start_age+A20</f>
        <v>51.0</v>
      </c>
      <c r="C20" s="64" t="str">
        <f>INDEX(age_band_label,MATCH(B20,age_band_start,1))</f>
        <v>50-54</v>
      </c>
      <c r="D20" s="65">
        <f>INDEX(p_background_death,MATCH(B20,age_band_start,1))</f>
        <v>0.0036</v>
      </c>
      <c r="E20" s="65">
        <f>INDEX(p_cancer_onset,MATCH(B20,age_band_start,1))</f>
        <v>0.00055</v>
      </c>
      <c r="F20" s="63">
        <f>IF(AND($B$3="Yes",B20&gt;=$E$3,B20&lt;=$H$3),1,0)</f>
        <v>1.0</v>
      </c>
      <c r="G20" s="66">
        <f>F20*screen_participation</f>
        <v>0.6</v>
      </c>
      <c r="H20" s="65">
        <f>1-(1-p_detect_symptoms)*(1-G20*screen_sensitivity)</f>
        <v>0.47799999999999987</v>
      </c>
      <c r="I20" s="65">
        <f>1-J20-K20</f>
        <v>0.99585198</v>
      </c>
      <c r="J20" s="65">
        <f>(1-D20)*E20</f>
        <v>0.00054802</v>
      </c>
      <c r="K20" s="65">
        <f>D20</f>
        <v>0.0036</v>
      </c>
      <c r="L20" s="65">
        <f>(1-D20)*H20*p_cure_early</f>
        <v>0.42865127999999986</v>
      </c>
      <c r="M20" s="65">
        <f>(1-D20)*(1-H20)*(1-p_progression)</f>
        <v>0.39009060000000007</v>
      </c>
      <c r="N20" s="65">
        <f>(1-D20)*(H20*(1-p_cure_early)+(1-H20)*p_progression)</f>
        <v>0.17765812</v>
      </c>
      <c r="O20" s="65">
        <f>D20</f>
        <v>0.0036</v>
      </c>
      <c r="P20" s="65">
        <f>1-Q20</f>
        <v>0.7473</v>
      </c>
      <c r="Q20" s="65">
        <f>1-(1-D20)*(1-p_death_advanced)</f>
        <v>0.25270000000000004</v>
      </c>
      <c r="R20" s="67">
        <f>R19*I19+S19*L19</f>
        <v>97512.6410850704</v>
      </c>
      <c r="S20" s="67">
        <f>R19*J19+S19*M19</f>
        <v>92.5602287453776</v>
      </c>
      <c r="T20" s="67">
        <f>S19*N19+T19*P19</f>
        <v>70.52222449030992</v>
      </c>
      <c r="U20" s="67">
        <f>U19+R19*K19+S19*O19+T19*Q19</f>
        <v>2324.2764616939535</v>
      </c>
      <c r="V20" s="67">
        <f>R20+S20+T20</f>
        <v>97675.72353830609</v>
      </c>
      <c r="W20" s="67">
        <f>R20*J20</f>
        <v>53.43887756744028</v>
      </c>
      <c r="X20" s="67">
        <f>S20*(1-D20)*H20</f>
        <v>44.08451169866543</v>
      </c>
      <c r="Y20" s="67">
        <f>S20*(1-D20)*(1-H20)*p_progression</f>
        <v>12.0356250558072</v>
      </c>
      <c r="Z20" s="67">
        <f>X20+Y20</f>
        <v>56.12013675447263</v>
      </c>
      <c r="AA20" s="67">
        <f>T20*(1-D20)*p_death_advanced</f>
        <v>17.5670861205362</v>
      </c>
      <c r="AB20" s="67">
        <f>(R20+S20)*G20</f>
        <v>58563.12078828947</v>
      </c>
      <c r="AC20" s="67">
        <f>G20*(R20*(1-screen_specificity)+S20*screen_sensitivity)</f>
        <v>4134.4062216460115</v>
      </c>
      <c r="AD20" s="68">
        <f>AB20*cost_screen_test+AC20*cost_followup_test</f>
        <v>5891299.845294695</v>
      </c>
      <c r="AE20" s="68">
        <f>X20*cost_early_treatment</f>
        <v>661267.6754799815</v>
      </c>
      <c r="AF20" s="68">
        <f>T20*cost_advanced_year</f>
        <v>1410444.4898061985</v>
      </c>
      <c r="AG20" s="68">
        <f>AD20+AE20+AF20</f>
        <v>7963012.010580875</v>
      </c>
      <c r="AH20" s="67">
        <f>V20</f>
        <v>97675.72353830609</v>
      </c>
      <c r="AI20" s="67">
        <f>R20*u_healthy+S20*u_early+T20*u_advanced</f>
        <v>87878.8403944666</v>
      </c>
      <c r="AJ20" s="69">
        <f>1/(1+disc_costs)^A20</f>
        <v>0.7224212765987621</v>
      </c>
      <c r="AK20" s="69">
        <f>1/(1+disc_effects)^A20</f>
        <v>0.7224212765987621</v>
      </c>
      <c r="AL20" s="68">
        <f>AG20*AJ20</f>
        <v>5752649.302255111</v>
      </c>
      <c r="AM20" s="67">
        <f>AI20*AK20</f>
        <v>63485.54406378943</v>
      </c>
      <c r="AN20" s="67">
        <f>AH20*AK20</f>
        <v>70563.02089125084</v>
      </c>
      <c r="AO20" s="64" t="str">
        <f>IF(AND(ABS(V20+U20-cohort_size)&lt;0.000001*cohort_size,MIN(I20:Q20)&gt;=0,MAX(I20:Q20)&lt;=1),"OK","CHECK")</f>
        <v>OK</v>
      </c>
    </row>
    <row r="21">
      <c r="A21" s="63">
        <f>A20+1</f>
        <v>12.0</v>
      </c>
      <c r="B21" s="63">
        <f>start_age+A21</f>
        <v>52.0</v>
      </c>
      <c r="C21" s="64" t="str">
        <f>INDEX(age_band_label,MATCH(B21,age_band_start,1))</f>
        <v>50-54</v>
      </c>
      <c r="D21" s="65">
        <f>INDEX(p_background_death,MATCH(B21,age_band_start,1))</f>
        <v>0.0036</v>
      </c>
      <c r="E21" s="65">
        <f>INDEX(p_cancer_onset,MATCH(B21,age_band_start,1))</f>
        <v>0.00055</v>
      </c>
      <c r="F21" s="63">
        <f>IF(AND($B$3="Yes",B21&gt;=$E$3,B21&lt;=$H$3),1,0)</f>
        <v>1.0</v>
      </c>
      <c r="G21" s="66">
        <f>F21*screen_participation</f>
        <v>0.6</v>
      </c>
      <c r="H21" s="65">
        <f>1-(1-p_detect_symptoms)*(1-G21*screen_sensitivity)</f>
        <v>0.47799999999999987</v>
      </c>
      <c r="I21" s="65">
        <f>1-J21-K21</f>
        <v>0.99585198</v>
      </c>
      <c r="J21" s="65">
        <f>(1-D21)*E21</f>
        <v>0.00054802</v>
      </c>
      <c r="K21" s="65">
        <f>D21</f>
        <v>0.0036</v>
      </c>
      <c r="L21" s="65">
        <f>(1-D21)*H21*p_cure_early</f>
        <v>0.42865127999999986</v>
      </c>
      <c r="M21" s="65">
        <f>(1-D21)*(1-H21)*(1-p_progression)</f>
        <v>0.39009060000000007</v>
      </c>
      <c r="N21" s="65">
        <f>(1-D21)*(H21*(1-p_cure_early)+(1-H21)*p_progression)</f>
        <v>0.17765812</v>
      </c>
      <c r="O21" s="65">
        <f>D21</f>
        <v>0.0036</v>
      </c>
      <c r="P21" s="65">
        <f>1-Q21</f>
        <v>0.7473</v>
      </c>
      <c r="Q21" s="65">
        <f>1-(1-D21)*(1-p_death_advanced)</f>
        <v>0.25270000000000004</v>
      </c>
      <c r="R21" s="67">
        <f>R20*I20+S20*L20</f>
        <v>97147.8327601255</v>
      </c>
      <c r="S21" s="67">
        <f>R20*J20+S20*M20</f>
        <v>89.54575273486188</v>
      </c>
      <c r="T21" s="67">
        <f>S20*N20+T20*P20</f>
        <v>69.14533458728235</v>
      </c>
      <c r="U21" s="67">
        <f>U20+R20*K20+S20*O20+T20*Q20</f>
        <v>2693.476152552392</v>
      </c>
      <c r="V21" s="67">
        <f>R21+S21+T21</f>
        <v>97306.52384744765</v>
      </c>
      <c r="W21" s="67">
        <f>R21*J21</f>
        <v>53.23895530920397</v>
      </c>
      <c r="X21" s="67">
        <f>S21*(1-D21)*H21</f>
        <v>42.64877947595782</v>
      </c>
      <c r="Y21" s="67">
        <f>S21*(1-D21)*(1-H21)*p_progression</f>
        <v>11.64365213726464</v>
      </c>
      <c r="Z21" s="67">
        <f>X21+Y21</f>
        <v>54.292431613222455</v>
      </c>
      <c r="AA21" s="67">
        <f>T21*(1-D21)*p_death_advanced</f>
        <v>17.224102845692034</v>
      </c>
      <c r="AB21" s="67">
        <f>(R21+S21)*G21</f>
        <v>58342.42710771622</v>
      </c>
      <c r="AC21" s="67">
        <f>G21*(R21*(1-screen_specificity)+S21*screen_sensitivity)</f>
        <v>4117.81819207391</v>
      </c>
      <c r="AD21" s="68">
        <f>AB21*cost_screen_test+AC21*cost_followup_test</f>
        <v>5868091.005305396</v>
      </c>
      <c r="AE21" s="68">
        <f>X21*cost_early_treatment</f>
        <v>639731.6921393672</v>
      </c>
      <c r="AF21" s="68">
        <f>T21*cost_advanced_year</f>
        <v>1382906.691745647</v>
      </c>
      <c r="AG21" s="68">
        <f>AD21+AE21+AF21</f>
        <v>7890729.389190411</v>
      </c>
      <c r="AH21" s="67">
        <f>V21</f>
        <v>97306.52384744765</v>
      </c>
      <c r="AI21" s="67">
        <f>R21*u_healthy+S21*u_early+T21*u_advanced</f>
        <v>87547.1933079606</v>
      </c>
      <c r="AJ21" s="69">
        <f>1/(1+disc_costs)^A21</f>
        <v>0.7013798801929729</v>
      </c>
      <c r="AK21" s="69">
        <f>1/(1+disc_effects)^A21</f>
        <v>0.7013798801929729</v>
      </c>
      <c r="AL21" s="68">
        <f>AG21*AJ21</f>
        <v>5534398.833625541</v>
      </c>
      <c r="AM21" s="67">
        <f>AI21*AK21</f>
        <v>61403.839953568444</v>
      </c>
      <c r="AN21" s="67">
        <f>AH21*AK21</f>
        <v>68248.8380381175</v>
      </c>
      <c r="AO21" s="64" t="str">
        <f>IF(AND(ABS(V21+U21-cohort_size)&lt;0.000001*cohort_size,MIN(I21:Q21)&gt;=0,MAX(I21:Q21)&lt;=1),"OK","CHECK")</f>
        <v>OK</v>
      </c>
    </row>
    <row r="22">
      <c r="A22" s="63">
        <f>A21+1</f>
        <v>13.0</v>
      </c>
      <c r="B22" s="63">
        <f>start_age+A22</f>
        <v>53.0</v>
      </c>
      <c r="C22" s="64" t="str">
        <f>INDEX(age_band_label,MATCH(B22,age_band_start,1))</f>
        <v>50-54</v>
      </c>
      <c r="D22" s="65">
        <f>INDEX(p_background_death,MATCH(B22,age_band_start,1))</f>
        <v>0.0036</v>
      </c>
      <c r="E22" s="65">
        <f>INDEX(p_cancer_onset,MATCH(B22,age_band_start,1))</f>
        <v>0.00055</v>
      </c>
      <c r="F22" s="63">
        <f>IF(AND($B$3="Yes",B22&gt;=$E$3,B22&lt;=$H$3),1,0)</f>
        <v>1.0</v>
      </c>
      <c r="G22" s="66">
        <f>F22*screen_participation</f>
        <v>0.6</v>
      </c>
      <c r="H22" s="65">
        <f>1-(1-p_detect_symptoms)*(1-G22*screen_sensitivity)</f>
        <v>0.47799999999999987</v>
      </c>
      <c r="I22" s="65">
        <f>1-J22-K22</f>
        <v>0.99585198</v>
      </c>
      <c r="J22" s="65">
        <f>(1-D22)*E22</f>
        <v>0.00054802</v>
      </c>
      <c r="K22" s="65">
        <f>D22</f>
        <v>0.0036</v>
      </c>
      <c r="L22" s="65">
        <f>(1-D22)*H22*p_cure_early</f>
        <v>0.42865127999999986</v>
      </c>
      <c r="M22" s="65">
        <f>(1-D22)*(1-H22)*(1-p_progression)</f>
        <v>0.39009060000000007</v>
      </c>
      <c r="N22" s="65">
        <f>(1-D22)*(H22*(1-p_cure_early)+(1-H22)*p_progression)</f>
        <v>0.17765812</v>
      </c>
      <c r="O22" s="65">
        <f>D22</f>
        <v>0.0036</v>
      </c>
      <c r="P22" s="65">
        <f>1-Q22</f>
        <v>0.7473</v>
      </c>
      <c r="Q22" s="65">
        <f>1-(1-D22)*(1-p_death_advanced)</f>
        <v>0.25270000000000004</v>
      </c>
      <c r="R22" s="67">
        <f>R21*I21+S21*L21</f>
        <v>96783.2455084082</v>
      </c>
      <c r="S22" s="67">
        <f>R21*J21+S21*M21</f>
        <v>88.16991172099789</v>
      </c>
      <c r="T22" s="67">
        <f>S21*N21+T21*P21</f>
        <v>67.58083862193652</v>
      </c>
      <c r="U22" s="67">
        <f>U21+R21*K21+S21*O21+T21*Q21</f>
        <v>3061.0037412488955</v>
      </c>
      <c r="V22" s="67">
        <f>R22+S22+T22</f>
        <v>96938.99625875114</v>
      </c>
      <c r="W22" s="67">
        <f>R22*J22</f>
        <v>53.03915420351786</v>
      </c>
      <c r="X22" s="67">
        <f>S22*(1-D22)*H22</f>
        <v>41.993495018547485</v>
      </c>
      <c r="Y22" s="67">
        <f>S22*(1-D22)*(1-H22)*p_progression</f>
        <v>11.464751255063701</v>
      </c>
      <c r="Z22" s="67">
        <f>X22+Y22</f>
        <v>53.45824627361119</v>
      </c>
      <c r="AA22" s="67">
        <f>T22*(1-D22)*p_death_advanced</f>
        <v>16.834386900724386</v>
      </c>
      <c r="AB22" s="67">
        <f>(R22+S22)*G22</f>
        <v>58122.84925207752</v>
      </c>
      <c r="AC22" s="67">
        <f>G22*(R22*(1-screen_specificity)+S22*screen_sensitivity)</f>
        <v>4101.92767427596</v>
      </c>
      <c r="AD22" s="68">
        <f>AB22*cost_screen_test+AC22*cost_followup_test</f>
        <v>5845613.151838286</v>
      </c>
      <c r="AE22" s="68">
        <f>X22*cost_early_treatment</f>
        <v>629902.4252782123</v>
      </c>
      <c r="AF22" s="68">
        <f>T22*cost_advanced_year</f>
        <v>1351616.7724387303</v>
      </c>
      <c r="AG22" s="68">
        <f>AD22+AE22+AF22</f>
        <v>7827132.349555228</v>
      </c>
      <c r="AH22" s="67">
        <f>V22</f>
        <v>96938.99625875114</v>
      </c>
      <c r="AI22" s="67">
        <f>R22*u_healthy+S22*u_early+T22*u_advanced</f>
        <v>87217.0348437723</v>
      </c>
      <c r="AJ22" s="69">
        <f>1/(1+disc_costs)^A22</f>
        <v>0.6809513399931775</v>
      </c>
      <c r="AK22" s="69">
        <f>1/(1+disc_effects)^A22</f>
        <v>0.6809513399931775</v>
      </c>
      <c r="AL22" s="68">
        <f>AG22*AJ22</f>
        <v>5329896.26173358</v>
      </c>
      <c r="AM22" s="67">
        <f>AI22*AK22</f>
        <v>59390.556747098395</v>
      </c>
      <c r="AN22" s="67">
        <f>AH22*AK22</f>
        <v>66010.73939999021</v>
      </c>
      <c r="AO22" s="64" t="str">
        <f>IF(AND(ABS(V22+U22-cohort_size)&lt;0.000001*cohort_size,MIN(I22:Q22)&gt;=0,MAX(I22:Q22)&lt;=1),"OK","CHECK")</f>
        <v>OK</v>
      </c>
    </row>
    <row r="23">
      <c r="A23" s="63">
        <f>A22+1</f>
        <v>14.0</v>
      </c>
      <c r="B23" s="63">
        <f>start_age+A23</f>
        <v>54.0</v>
      </c>
      <c r="C23" s="64" t="str">
        <f>INDEX(age_band_label,MATCH(B23,age_band_start,1))</f>
        <v>50-54</v>
      </c>
      <c r="D23" s="65">
        <f>INDEX(p_background_death,MATCH(B23,age_band_start,1))</f>
        <v>0.0036</v>
      </c>
      <c r="E23" s="65">
        <f>INDEX(p_cancer_onset,MATCH(B23,age_band_start,1))</f>
        <v>0.00055</v>
      </c>
      <c r="F23" s="63">
        <f>IF(AND($B$3="Yes",B23&gt;=$E$3,B23&lt;=$H$3),1,0)</f>
        <v>1.0</v>
      </c>
      <c r="G23" s="66">
        <f>F23*screen_participation</f>
        <v>0.6</v>
      </c>
      <c r="H23" s="65">
        <f>1-(1-p_detect_symptoms)*(1-G23*screen_sensitivity)</f>
        <v>0.47799999999999987</v>
      </c>
      <c r="I23" s="65">
        <f>1-J23-K23</f>
        <v>0.99585198</v>
      </c>
      <c r="J23" s="65">
        <f>(1-D23)*E23</f>
        <v>0.00054802</v>
      </c>
      <c r="K23" s="65">
        <f>D23</f>
        <v>0.0036</v>
      </c>
      <c r="L23" s="65">
        <f>(1-D23)*H23*p_cure_early</f>
        <v>0.42865127999999986</v>
      </c>
      <c r="M23" s="65">
        <f>(1-D23)*(1-H23)*(1-p_progression)</f>
        <v>0.39009060000000007</v>
      </c>
      <c r="N23" s="65">
        <f>(1-D23)*(H23*(1-p_cure_early)+(1-H23)*p_progression)</f>
        <v>0.17765812</v>
      </c>
      <c r="O23" s="65">
        <f>D23</f>
        <v>0.0036</v>
      </c>
      <c r="P23" s="65">
        <f>1-Q23</f>
        <v>0.7473</v>
      </c>
      <c r="Q23" s="65">
        <f>1-(1-D23)*(1-p_death_advanced)</f>
        <v>0.25270000000000004</v>
      </c>
      <c r="R23" s="67">
        <f>R22*I22+S22*L22</f>
        <v>96419.5808158911</v>
      </c>
      <c r="S23" s="67">
        <f>R22*J22+S22*M22</f>
        <v>87.43340796870896</v>
      </c>
      <c r="T23" s="67">
        <f>S22*N22+T22*P22</f>
        <v>66.1672614590916</v>
      </c>
      <c r="U23" s="67">
        <f>U22+R22*K22+S22*O22+T22*Q22</f>
        <v>3426.8185146811243</v>
      </c>
      <c r="V23" s="67">
        <f>R23+S23+T23</f>
        <v>96573.1814853189</v>
      </c>
      <c r="W23" s="67">
        <f>R23*J23</f>
        <v>52.83985867872464</v>
      </c>
      <c r="X23" s="67">
        <f>S23*(1-D23)*H23</f>
        <v>41.64271360061032</v>
      </c>
      <c r="Y23" s="67">
        <f>S23*(1-D23)*(1-H23)*p_progression</f>
        <v>11.368983524852823</v>
      </c>
      <c r="Z23" s="67">
        <f>X23+Y23</f>
        <v>53.011697125463144</v>
      </c>
      <c r="AA23" s="67">
        <f>T23*(1-D23)*p_death_advanced</f>
        <v>16.48226482945972</v>
      </c>
      <c r="AB23" s="67">
        <f>(R23+S23)*G23</f>
        <v>57904.20853431588</v>
      </c>
      <c r="AC23" s="67">
        <f>G23*(R23*(1-screen_specificity)+S23*screen_sensitivity)</f>
        <v>4086.344425614281</v>
      </c>
      <c r="AD23" s="68">
        <f>AB23*cost_screen_test+AC23*cost_followup_test</f>
        <v>5823470.681643758</v>
      </c>
      <c r="AE23" s="68">
        <f>X23*cost_early_treatment</f>
        <v>624640.7040091548</v>
      </c>
      <c r="AF23" s="68">
        <f>T23*cost_advanced_year</f>
        <v>1323345.2291818322</v>
      </c>
      <c r="AG23" s="68">
        <f>AD23+AE23+AF23</f>
        <v>7771456.6148347445</v>
      </c>
      <c r="AH23" s="67">
        <f>V23</f>
        <v>96573.1814853189</v>
      </c>
      <c r="AI23" s="67">
        <f>R23*u_healthy+S23*u_early+T23*u_advanced</f>
        <v>86888.3331248779</v>
      </c>
      <c r="AJ23" s="69">
        <f>1/(1+disc_costs)^A23</f>
        <v>0.6611178058186189</v>
      </c>
      <c r="AK23" s="69">
        <f>1/(1+disc_effects)^A23</f>
        <v>0.6611178058186189</v>
      </c>
      <c r="AL23" s="68">
        <f>AG23*AJ23</f>
        <v>5137848.345214138</v>
      </c>
      <c r="AM23" s="67">
        <f>AI23*AK23</f>
        <v>57443.4241467565</v>
      </c>
      <c r="AN23" s="67">
        <f>AH23*AK23</f>
        <v>63846.2498444973</v>
      </c>
      <c r="AO23" s="64" t="str">
        <f>IF(AND(ABS(V23+U23-cohort_size)&lt;0.000001*cohort_size,MIN(I23:Q23)&gt;=0,MAX(I23:Q23)&lt;=1),"OK","CHECK")</f>
        <v>OK</v>
      </c>
    </row>
    <row r="24">
      <c r="A24" s="63">
        <f>A23+1</f>
        <v>15.0</v>
      </c>
      <c r="B24" s="63">
        <f>start_age+A24</f>
        <v>55.0</v>
      </c>
      <c r="C24" s="64" t="str">
        <f>INDEX(age_band_label,MATCH(B24,age_band_start,1))</f>
        <v>55-59</v>
      </c>
      <c r="D24" s="65">
        <f>INDEX(p_background_death,MATCH(B24,age_band_start,1))</f>
        <v>0.0055</v>
      </c>
      <c r="E24" s="65">
        <f>INDEX(p_cancer_onset,MATCH(B24,age_band_start,1))</f>
        <v>0.0008</v>
      </c>
      <c r="F24" s="63">
        <f>IF(AND($B$3="Yes",B24&gt;=$E$3,B24&lt;=$H$3),1,0)</f>
        <v>1.0</v>
      </c>
      <c r="G24" s="66">
        <f>F24*screen_participation</f>
        <v>0.6</v>
      </c>
      <c r="H24" s="65">
        <f>1-(1-p_detect_symptoms)*(1-G24*screen_sensitivity)</f>
        <v>0.47799999999999987</v>
      </c>
      <c r="I24" s="65">
        <f>1-J24-K24</f>
        <v>0.9937044</v>
      </c>
      <c r="J24" s="65">
        <f>(1-D24)*E24</f>
        <v>0.0007956</v>
      </c>
      <c r="K24" s="65">
        <f>D24</f>
        <v>0.0055</v>
      </c>
      <c r="L24" s="65">
        <f>(1-D24)*H24*p_cure_early</f>
        <v>0.4278338999999999</v>
      </c>
      <c r="M24" s="65">
        <f>(1-D24)*(1-H24)*(1-p_progression)</f>
        <v>0.38934675000000013</v>
      </c>
      <c r="N24" s="65">
        <f>(1-D24)*(H24*(1-p_cure_early)+(1-H24)*p_progression)</f>
        <v>0.17731935000000001</v>
      </c>
      <c r="O24" s="65">
        <f>D24</f>
        <v>0.0055</v>
      </c>
      <c r="P24" s="65">
        <f>1-Q24</f>
        <v>0.7458750000000001</v>
      </c>
      <c r="Q24" s="65">
        <f>1-(1-D24)*(1-p_death_advanced)</f>
        <v>0.25412499999999993</v>
      </c>
      <c r="R24" s="67">
        <f>R23*I23+S23*L23</f>
        <v>96057.10890851571</v>
      </c>
      <c r="S24" s="67">
        <f>R23*J23+S23*M23</f>
        <v>86.9468092532831</v>
      </c>
      <c r="T24" s="67">
        <f>S23*N23+T23*P23</f>
        <v>64.98004937329301</v>
      </c>
      <c r="U24" s="67">
        <f>U23+R23*K23+S23*O23+T23*Q23</f>
        <v>3790.964232857732</v>
      </c>
      <c r="V24" s="67">
        <f>R24+S24+T24</f>
        <v>96209.03576714228</v>
      </c>
      <c r="W24" s="67">
        <f>R24*J24</f>
        <v>76.42303584761511</v>
      </c>
      <c r="X24" s="67">
        <f>S24*(1-D24)*H24</f>
        <v>41.33199166154243</v>
      </c>
      <c r="Y24" s="67">
        <f>S24*(1-D24)*(1-H24)*p_progression</f>
        <v>11.284152535211906</v>
      </c>
      <c r="Z24" s="67">
        <f>X24+Y24</f>
        <v>52.616144196754334</v>
      </c>
      <c r="AA24" s="67">
        <f>T24*(1-D24)*p_death_advanced</f>
        <v>16.155664775434975</v>
      </c>
      <c r="AB24" s="67">
        <f>(R24+S24)*G24</f>
        <v>57686.4334306614</v>
      </c>
      <c r="AC24" s="67">
        <f>G24*(R24*(1-screen_specificity)+S24*screen_sensitivity)</f>
        <v>4070.916234044036</v>
      </c>
      <c r="AD24" s="68">
        <f>AB24*cost_screen_test+AC24*cost_followup_test</f>
        <v>5801509.236963878</v>
      </c>
      <c r="AE24" s="68">
        <f>X24*cost_early_treatment</f>
        <v>619979.8749231364</v>
      </c>
      <c r="AF24" s="68">
        <f>T24*cost_advanced_year</f>
        <v>1299600.9874658603</v>
      </c>
      <c r="AG24" s="68">
        <f>AD24+AE24+AF24</f>
        <v>7721090.099352875</v>
      </c>
      <c r="AH24" s="67">
        <f>V24</f>
        <v>96209.03576714228</v>
      </c>
      <c r="AI24" s="67">
        <f>R24*u_healthy+S24*u_early+T24*u_advanced</f>
        <v>86561.04183268476</v>
      </c>
      <c r="AJ24" s="69">
        <f>1/(1+disc_costs)^A24</f>
        <v>0.6418619473967174</v>
      </c>
      <c r="AK24" s="69">
        <f>1/(1+disc_effects)^A24</f>
        <v>0.6418619473967174</v>
      </c>
      <c r="AL24" s="68">
        <f>AG24*AJ24</f>
        <v>4955873.927196151</v>
      </c>
      <c r="AM24" s="67">
        <f>AI24*AK24</f>
        <v>55560.23887941576</v>
      </c>
      <c r="AN24" s="67">
        <f>AH24*AK24</f>
        <v>61752.919054658385</v>
      </c>
      <c r="AO24" s="64" t="str">
        <f>IF(AND(ABS(V24+U24-cohort_size)&lt;0.000001*cohort_size,MIN(I24:Q24)&gt;=0,MAX(I24:Q24)&lt;=1),"OK","CHECK")</f>
        <v>OK</v>
      </c>
    </row>
    <row r="25">
      <c r="A25" s="63">
        <f>A24+1</f>
        <v>16.0</v>
      </c>
      <c r="B25" s="63">
        <f>start_age+A25</f>
        <v>56.0</v>
      </c>
      <c r="C25" s="64" t="str">
        <f>INDEX(age_band_label,MATCH(B25,age_band_start,1))</f>
        <v>55-59</v>
      </c>
      <c r="D25" s="65">
        <f>INDEX(p_background_death,MATCH(B25,age_band_start,1))</f>
        <v>0.0055</v>
      </c>
      <c r="E25" s="65">
        <f>INDEX(p_cancer_onset,MATCH(B25,age_band_start,1))</f>
        <v>0.0008</v>
      </c>
      <c r="F25" s="63">
        <f>IF(AND($B$3="Yes",B25&gt;=$E$3,B25&lt;=$H$3),1,0)</f>
        <v>1.0</v>
      </c>
      <c r="G25" s="66">
        <f>F25*screen_participation</f>
        <v>0.6</v>
      </c>
      <c r="H25" s="65">
        <f>1-(1-p_detect_symptoms)*(1-G25*screen_sensitivity)</f>
        <v>0.47799999999999987</v>
      </c>
      <c r="I25" s="65">
        <f>1-J25-K25</f>
        <v>0.9937044</v>
      </c>
      <c r="J25" s="65">
        <f>(1-D25)*E25</f>
        <v>0.0007956</v>
      </c>
      <c r="K25" s="65">
        <f>D25</f>
        <v>0.0055</v>
      </c>
      <c r="L25" s="65">
        <f>(1-D25)*H25*p_cure_early</f>
        <v>0.4278338999999999</v>
      </c>
      <c r="M25" s="65">
        <f>(1-D25)*(1-H25)*(1-p_progression)</f>
        <v>0.38934675000000013</v>
      </c>
      <c r="N25" s="65">
        <f>(1-D25)*(H25*(1-p_cure_early)+(1-H25)*p_progression)</f>
        <v>0.17731935000000001</v>
      </c>
      <c r="O25" s="65">
        <f>D25</f>
        <v>0.0055</v>
      </c>
      <c r="P25" s="65">
        <f>1-Q25</f>
        <v>0.7458750000000001</v>
      </c>
      <c r="Q25" s="65">
        <f>1-(1-D25)*(1-p_death_advanced)</f>
        <v>0.25412499999999993</v>
      </c>
      <c r="R25" s="67">
        <f>R24*I24+S24*L24</f>
        <v>95489.57056616666</v>
      </c>
      <c r="S25" s="67">
        <f>R24*J24+S24*M24</f>
        <v>110.27549345325082</v>
      </c>
      <c r="T25" s="67">
        <f>S24*N24+T24*P24</f>
        <v>63.88434602767107</v>
      </c>
      <c r="U25" s="67">
        <f>U24+R24*K24+S24*O24+T24*Q24</f>
        <v>4336.2695943524495</v>
      </c>
      <c r="V25" s="67">
        <f>R25+S25+T25</f>
        <v>95663.73040564758</v>
      </c>
      <c r="W25" s="67">
        <f>R25*J25</f>
        <v>75.9715023424422</v>
      </c>
      <c r="X25" s="67">
        <f>S25*(1-D25)*H25</f>
        <v>52.42177159836528</v>
      </c>
      <c r="Y25" s="67">
        <f>S25*(1-D25)*(1-H25)*p_progression</f>
        <v>14.311801660223164</v>
      </c>
      <c r="Z25" s="67">
        <f>X25+Y25</f>
        <v>66.73357325858845</v>
      </c>
      <c r="AA25" s="67">
        <f>T25*(1-D25)*p_death_advanced</f>
        <v>15.88324553112972</v>
      </c>
      <c r="AB25" s="67">
        <f>(R25+S25)*G25</f>
        <v>57359.907635771946</v>
      </c>
      <c r="AC25" s="67">
        <f>G25*(R25*(1-screen_specificity)+S25*screen_sensitivity)</f>
        <v>4056.877671029362</v>
      </c>
      <c r="AD25" s="68">
        <f>AB25*cost_screen_test+AC25*cost_followup_test</f>
        <v>5777674.90010252</v>
      </c>
      <c r="AE25" s="68">
        <f>X25*cost_early_treatment</f>
        <v>786326.5739754792</v>
      </c>
      <c r="AF25" s="68">
        <f>T25*cost_advanced_year</f>
        <v>1277686.9205534214</v>
      </c>
      <c r="AG25" s="68">
        <f>AD25+AE25+AF25</f>
        <v>7841688.394631421</v>
      </c>
      <c r="AH25" s="67">
        <f>V25</f>
        <v>95663.73040564758</v>
      </c>
      <c r="AI25" s="67">
        <f>R25*u_healthy+S25*u_early+T25*u_advanced</f>
        <v>86069.48406930048</v>
      </c>
      <c r="AJ25" s="69">
        <f>1/(1+disc_costs)^A25</f>
        <v>0.6231669392201139</v>
      </c>
      <c r="AK25" s="69">
        <f>1/(1+disc_effects)^A25</f>
        <v>0.6231669392201139</v>
      </c>
      <c r="AL25" s="68">
        <f>AG25*AJ25</f>
        <v>4886680.955200352</v>
      </c>
      <c r="AM25" s="67">
        <f>AI25*AK25</f>
        <v>53635.65694772034</v>
      </c>
      <c r="AN25" s="67">
        <f>AH25*AK25</f>
        <v>59614.47407126555</v>
      </c>
      <c r="AO25" s="64" t="str">
        <f>IF(AND(ABS(V25+U25-cohort_size)&lt;0.000001*cohort_size,MIN(I25:Q25)&gt;=0,MAX(I25:Q25)&lt;=1),"OK","CHECK")</f>
        <v>OK</v>
      </c>
    </row>
    <row r="26">
      <c r="A26" s="63">
        <f>A25+1</f>
        <v>17.0</v>
      </c>
      <c r="B26" s="63">
        <f>start_age+A26</f>
        <v>57.0</v>
      </c>
      <c r="C26" s="64" t="str">
        <f>INDEX(age_band_label,MATCH(B26,age_band_start,1))</f>
        <v>55-59</v>
      </c>
      <c r="D26" s="65">
        <f>INDEX(p_background_death,MATCH(B26,age_band_start,1))</f>
        <v>0.0055</v>
      </c>
      <c r="E26" s="65">
        <f>INDEX(p_cancer_onset,MATCH(B26,age_band_start,1))</f>
        <v>0.0008</v>
      </c>
      <c r="F26" s="63">
        <f>IF(AND($B$3="Yes",B26&gt;=$E$3,B26&lt;=$H$3),1,0)</f>
        <v>1.0</v>
      </c>
      <c r="G26" s="66">
        <f>F26*screen_participation</f>
        <v>0.6</v>
      </c>
      <c r="H26" s="65">
        <f>1-(1-p_detect_symptoms)*(1-G26*screen_sensitivity)</f>
        <v>0.47799999999999987</v>
      </c>
      <c r="I26" s="65">
        <f>1-J26-K26</f>
        <v>0.9937044</v>
      </c>
      <c r="J26" s="65">
        <f>(1-D26)*E26</f>
        <v>0.0007956</v>
      </c>
      <c r="K26" s="65">
        <f>D26</f>
        <v>0.0055</v>
      </c>
      <c r="L26" s="65">
        <f>(1-D26)*H26*p_cure_early</f>
        <v>0.4278338999999999</v>
      </c>
      <c r="M26" s="65">
        <f>(1-D26)*(1-H26)*(1-p_progression)</f>
        <v>0.38934675000000013</v>
      </c>
      <c r="N26" s="65">
        <f>(1-D26)*(H26*(1-p_cure_early)+(1-H26)*p_progression)</f>
        <v>0.17731935000000001</v>
      </c>
      <c r="O26" s="65">
        <f>D26</f>
        <v>0.0055</v>
      </c>
      <c r="P26" s="65">
        <f>1-Q26</f>
        <v>0.7458750000000001</v>
      </c>
      <c r="Q26" s="65">
        <f>1-(1-D26)*(1-p_death_advanced)</f>
        <v>0.25412499999999993</v>
      </c>
      <c r="R26" s="67">
        <f>R25*I25+S25*L25</f>
        <v>94935.58602014882</v>
      </c>
      <c r="S26" s="67">
        <f>R25*J25+S25*M25</f>
        <v>118.90690732311168</v>
      </c>
      <c r="T26" s="67">
        <f>S25*N25+T25*P25</f>
        <v>67.20371541344886</v>
      </c>
      <c r="U26" s="67">
        <f>U25+R25*K25+S25*O25+T25*Q25</f>
        <v>4878.303357114641</v>
      </c>
      <c r="V26" s="67">
        <f>R26+S26+T26</f>
        <v>95121.69664288538</v>
      </c>
      <c r="W26" s="67">
        <f>R26*J26</f>
        <v>75.53075223763041</v>
      </c>
      <c r="X26" s="67">
        <f>S26*(1-D26)*H26</f>
        <v>56.52489544109491</v>
      </c>
      <c r="Y26" s="67">
        <f>S26*(1-D26)*(1-H26)*p_progression</f>
        <v>15.432005972934917</v>
      </c>
      <c r="Z26" s="67">
        <f>X26+Y26</f>
        <v>71.95690141402983</v>
      </c>
      <c r="AA26" s="67">
        <f>T26*(1-D26)*p_death_advanced</f>
        <v>16.708523744668724</v>
      </c>
      <c r="AB26" s="67">
        <f>(R26+S26)*G26</f>
        <v>57032.69575648316</v>
      </c>
      <c r="AC26" s="67">
        <f>G26*(R26*(1-screen_specificity)+S26*screen_sensitivity)</f>
        <v>4037.2355139219544</v>
      </c>
      <c r="AD26" s="68">
        <f>AB26*cost_screen_test+AC26*cost_followup_test</f>
        <v>5748216.386616449</v>
      </c>
      <c r="AE26" s="68">
        <f>X26*cost_early_treatment</f>
        <v>847873.4316164237</v>
      </c>
      <c r="AF26" s="68">
        <f>T26*cost_advanced_year</f>
        <v>1344074.3082689773</v>
      </c>
      <c r="AG26" s="68">
        <f>AD26+AE26+AF26</f>
        <v>7940164.12650185</v>
      </c>
      <c r="AH26" s="67">
        <f>V26</f>
        <v>95121.69664288538</v>
      </c>
      <c r="AI26" s="67">
        <f>R26*u_healthy+S26*u_early+T26*u_advanced</f>
        <v>85580.06033283599</v>
      </c>
      <c r="AJ26" s="69">
        <f>1/(1+disc_costs)^A26</f>
        <v>0.6050164458447708</v>
      </c>
      <c r="AK26" s="69">
        <f>1/(1+disc_effects)^A26</f>
        <v>0.6050164458447708</v>
      </c>
      <c r="AL26" s="68">
        <f>AG26*AJ26</f>
        <v>4803929.879240298</v>
      </c>
      <c r="AM26" s="67">
        <f>AI26*AK26</f>
        <v>51777.34393775348</v>
      </c>
      <c r="AN26" s="67">
        <f>AH26*AK26</f>
        <v>57550.19082560297</v>
      </c>
      <c r="AO26" s="64" t="str">
        <f>IF(AND(ABS(V26+U26-cohort_size)&lt;0.000001*cohort_size,MIN(I26:Q26)&gt;=0,MAX(I26:Q26)&lt;=1),"OK","CHECK")</f>
        <v>OK</v>
      </c>
    </row>
    <row r="27">
      <c r="A27" s="63">
        <f>A26+1</f>
        <v>18.0</v>
      </c>
      <c r="B27" s="63">
        <f>start_age+A27</f>
        <v>58.0</v>
      </c>
      <c r="C27" s="64" t="str">
        <f>INDEX(age_band_label,MATCH(B27,age_band_start,1))</f>
        <v>55-59</v>
      </c>
      <c r="D27" s="65">
        <f>INDEX(p_background_death,MATCH(B27,age_band_start,1))</f>
        <v>0.0055</v>
      </c>
      <c r="E27" s="65">
        <f>INDEX(p_cancer_onset,MATCH(B27,age_band_start,1))</f>
        <v>0.0008</v>
      </c>
      <c r="F27" s="63">
        <f>IF(AND($B$3="Yes",B27&gt;=$E$3,B27&lt;=$H$3),1,0)</f>
        <v>1.0</v>
      </c>
      <c r="G27" s="66">
        <f>F27*screen_participation</f>
        <v>0.6</v>
      </c>
      <c r="H27" s="65">
        <f>1-(1-p_detect_symptoms)*(1-G27*screen_sensitivity)</f>
        <v>0.47799999999999987</v>
      </c>
      <c r="I27" s="65">
        <f>1-J27-K27</f>
        <v>0.9937044</v>
      </c>
      <c r="J27" s="65">
        <f>(1-D27)*E27</f>
        <v>0.0007956</v>
      </c>
      <c r="K27" s="65">
        <f>D27</f>
        <v>0.0055</v>
      </c>
      <c r="L27" s="65">
        <f>(1-D27)*H27*p_cure_early</f>
        <v>0.4278338999999999</v>
      </c>
      <c r="M27" s="65">
        <f>(1-D27)*(1-H27)*(1-p_progression)</f>
        <v>0.38934675000000013</v>
      </c>
      <c r="N27" s="65">
        <f>(1-D27)*(H27*(1-p_cure_early)+(1-H27)*p_progression)</f>
        <v>0.17731935000000001</v>
      </c>
      <c r="O27" s="65">
        <f>D27</f>
        <v>0.0055</v>
      </c>
      <c r="P27" s="65">
        <f>1-Q27</f>
        <v>0.7458750000000001</v>
      </c>
      <c r="Q27" s="65">
        <f>1-(1-D27)*(1-p_death_advanced)</f>
        <v>0.25412499999999993</v>
      </c>
      <c r="R27" s="67">
        <f>R26*I26+S26*L26</f>
        <v>94388.78195069736</v>
      </c>
      <c r="S27" s="67">
        <f>R26*J26+S26*M26</f>
        <v>121.82677015643516</v>
      </c>
      <c r="T27" s="67">
        <f>S26*N26+T26*P26</f>
        <v>71.21006675105058</v>
      </c>
      <c r="U27" s="67">
        <f>U26+R26*K26+S26*O26+T26*Q26</f>
        <v>5418.1812123951795</v>
      </c>
      <c r="V27" s="67">
        <f>R27+S27+T27</f>
        <v>94581.81878760485</v>
      </c>
      <c r="W27" s="67">
        <f>R27*J27</f>
        <v>75.09571491997482</v>
      </c>
      <c r="X27" s="67">
        <f>S27*(1-D27)*H27</f>
        <v>57.91291355603473</v>
      </c>
      <c r="Y27" s="67">
        <f>S27*(1-D27)*(1-H27)*p_progression</f>
        <v>15.810952341135012</v>
      </c>
      <c r="Z27" s="67">
        <f>X27+Y27</f>
        <v>73.72386589716974</v>
      </c>
      <c r="AA27" s="67">
        <f>T27*(1-D27)*p_death_advanced</f>
        <v>17.70460284597995</v>
      </c>
      <c r="AB27" s="67">
        <f>(R27+S27)*G27</f>
        <v>56706.365232512275</v>
      </c>
      <c r="AC27" s="67">
        <f>G27*(R27*(1-screen_specificity)+S27*screen_sensitivity)</f>
        <v>4015.4960853949888</v>
      </c>
      <c r="AD27" s="68">
        <f>AB27*cost_screen_test+AC27*cost_followup_test</f>
        <v>5716687.042370357</v>
      </c>
      <c r="AE27" s="68">
        <f>X27*cost_early_treatment</f>
        <v>868693.703340521</v>
      </c>
      <c r="AF27" s="68">
        <f>T27*cost_advanced_year</f>
        <v>1424201.3350210115</v>
      </c>
      <c r="AG27" s="68">
        <f>AD27+AE27+AF27</f>
        <v>8009582.080731889</v>
      </c>
      <c r="AH27" s="67">
        <f>V27</f>
        <v>94581.81878760485</v>
      </c>
      <c r="AI27" s="67">
        <f>R27*u_healthy+S27*u_early+T27*u_advanced</f>
        <v>85092.62204697367</v>
      </c>
      <c r="AJ27" s="69">
        <f>1/(1+disc_costs)^A27</f>
        <v>0.5873946076162823</v>
      </c>
      <c r="AK27" s="69">
        <f>1/(1+disc_effects)^A27</f>
        <v>0.5873946076162823</v>
      </c>
      <c r="AL27" s="68">
        <f>AG27*AJ27</f>
        <v>4704785.323481914</v>
      </c>
      <c r="AM27" s="67">
        <f>AI27*AK27</f>
        <v>49982.94733832271</v>
      </c>
      <c r="AN27" s="67">
        <f>AH27*AK27</f>
        <v>55556.850334379465</v>
      </c>
      <c r="AO27" s="64" t="str">
        <f>IF(AND(ABS(V27+U27-cohort_size)&lt;0.000001*cohort_size,MIN(I27:Q27)&gt;=0,MAX(I27:Q27)&lt;=1),"OK","CHECK")</f>
        <v>OK</v>
      </c>
    </row>
    <row r="28">
      <c r="A28" s="63">
        <f>A27+1</f>
        <v>19.0</v>
      </c>
      <c r="B28" s="63">
        <f>start_age+A28</f>
        <v>59.0</v>
      </c>
      <c r="C28" s="64" t="str">
        <f>INDEX(age_band_label,MATCH(B28,age_band_start,1))</f>
        <v>55-59</v>
      </c>
      <c r="D28" s="65">
        <f>INDEX(p_background_death,MATCH(B28,age_band_start,1))</f>
        <v>0.0055</v>
      </c>
      <c r="E28" s="65">
        <f>INDEX(p_cancer_onset,MATCH(B28,age_band_start,1))</f>
        <v>0.0008</v>
      </c>
      <c r="F28" s="63">
        <f>IF(AND($B$3="Yes",B28&gt;=$E$3,B28&lt;=$H$3),1,0)</f>
        <v>1.0</v>
      </c>
      <c r="G28" s="66">
        <f>F28*screen_participation</f>
        <v>0.6</v>
      </c>
      <c r="H28" s="65">
        <f>1-(1-p_detect_symptoms)*(1-G28*screen_sensitivity)</f>
        <v>0.47799999999999987</v>
      </c>
      <c r="I28" s="65">
        <f>1-J28-K28</f>
        <v>0.9937044</v>
      </c>
      <c r="J28" s="65">
        <f>(1-D28)*E28</f>
        <v>0.0007956</v>
      </c>
      <c r="K28" s="65">
        <f>D28</f>
        <v>0.0055</v>
      </c>
      <c r="L28" s="65">
        <f>(1-D28)*H28*p_cure_early</f>
        <v>0.4278338999999999</v>
      </c>
      <c r="M28" s="65">
        <f>(1-D28)*(1-H28)*(1-p_progression)</f>
        <v>0.38934675000000013</v>
      </c>
      <c r="N28" s="65">
        <f>(1-D28)*(H28*(1-p_cure_early)+(1-H28)*p_progression)</f>
        <v>0.17731935000000001</v>
      </c>
      <c r="O28" s="65">
        <f>D28</f>
        <v>0.0055</v>
      </c>
      <c r="P28" s="65">
        <f>1-Q28</f>
        <v>0.7458750000000001</v>
      </c>
      <c r="Q28" s="65">
        <f>1-(1-D28)*(1-p_death_advanced)</f>
        <v>0.25412499999999993</v>
      </c>
      <c r="R28" s="67">
        <f>R27*I27+S27*L27</f>
        <v>93846.66955724898</v>
      </c>
      <c r="S28" s="67">
        <f>R27*J27+S27*M27</f>
        <v>122.52857194337986</v>
      </c>
      <c r="T28" s="67">
        <f>S27*N27+T27*P27</f>
        <v>74.71605223467833</v>
      </c>
      <c r="U28" s="67">
        <f>U27+R27*K27+S27*O27+T27*Q27</f>
        <v>5956.085818572987</v>
      </c>
      <c r="V28" s="67">
        <f>R28+S28+T28</f>
        <v>94043.91418142704</v>
      </c>
      <c r="W28" s="67">
        <f>R28*J28</f>
        <v>74.6644102997473</v>
      </c>
      <c r="X28" s="67">
        <f>S28*(1-D28)*H28</f>
        <v>58.24652977329641</v>
      </c>
      <c r="Y28" s="67">
        <f>S28*(1-D28)*(1-H28)*p_progression</f>
        <v>15.902033756098716</v>
      </c>
      <c r="Z28" s="67">
        <f>X28+Y28</f>
        <v>74.14856352939512</v>
      </c>
      <c r="AA28" s="67">
        <f>T28*(1-D28)*p_death_advanced</f>
        <v>18.5762784868469</v>
      </c>
      <c r="AB28" s="67">
        <f>(R28+S28)*G28</f>
        <v>56381.51887751542</v>
      </c>
      <c r="AC28" s="67">
        <f>G28*(R28*(1-screen_specificity)+S28*screen_sensitivity)</f>
        <v>3993.0221216206737</v>
      </c>
      <c r="AD28" s="68">
        <f>AB28*cost_screen_test+AC28*cost_followup_test</f>
        <v>5684467.687946136</v>
      </c>
      <c r="AE28" s="68">
        <f>X28*cost_early_treatment</f>
        <v>873697.9465994461</v>
      </c>
      <c r="AF28" s="68">
        <f>T28*cost_advanced_year</f>
        <v>1494321.0446935666</v>
      </c>
      <c r="AG28" s="68">
        <f>AD28+AE28+AF28</f>
        <v>8052486.679239149</v>
      </c>
      <c r="AH28" s="67">
        <f>V28</f>
        <v>94043.91418142704</v>
      </c>
      <c r="AI28" s="67">
        <f>R28*u_healthy+S28*u_early+T28*u_advanced</f>
        <v>84607.24571640504</v>
      </c>
      <c r="AJ28" s="69">
        <f>1/(1+disc_costs)^A28</f>
        <v>0.5702860268119245</v>
      </c>
      <c r="AK28" s="69">
        <f>1/(1+disc_effects)^A28</f>
        <v>0.5702860268119245</v>
      </c>
      <c r="AL28" s="68">
        <f>AG28*AJ28</f>
        <v>4592220.634259243</v>
      </c>
      <c r="AM28" s="67">
        <f>AI28*AK28</f>
        <v>48250.32999910885</v>
      </c>
      <c r="AN28" s="67">
        <f>AH28*AK28</f>
        <v>53631.93016436763</v>
      </c>
      <c r="AO28" s="64" t="str">
        <f>IF(AND(ABS(V28+U28-cohort_size)&lt;0.000001*cohort_size,MIN(I28:Q28)&gt;=0,MAX(I28:Q28)&lt;=1),"OK","CHECK")</f>
        <v>OK</v>
      </c>
    </row>
    <row r="29">
      <c r="A29" s="63">
        <f>A28+1</f>
        <v>20.0</v>
      </c>
      <c r="B29" s="63">
        <f>start_age+A29</f>
        <v>60.0</v>
      </c>
      <c r="C29" s="64" t="str">
        <f>INDEX(age_band_label,MATCH(B29,age_band_start,1))</f>
        <v>60-64</v>
      </c>
      <c r="D29" s="65">
        <f>INDEX(p_background_death,MATCH(B29,age_band_start,1))</f>
        <v>0.0085</v>
      </c>
      <c r="E29" s="65">
        <f>INDEX(p_cancer_onset,MATCH(B29,age_band_start,1))</f>
        <v>0.0011</v>
      </c>
      <c r="F29" s="63">
        <f>IF(AND($B$3="Yes",B29&gt;=$E$3,B29&lt;=$H$3),1,0)</f>
        <v>1.0</v>
      </c>
      <c r="G29" s="66">
        <f>F29*screen_participation</f>
        <v>0.6</v>
      </c>
      <c r="H29" s="65">
        <f>1-(1-p_detect_symptoms)*(1-G29*screen_sensitivity)</f>
        <v>0.47799999999999987</v>
      </c>
      <c r="I29" s="65">
        <f>1-J29-K29</f>
        <v>0.9904093500000001</v>
      </c>
      <c r="J29" s="65">
        <f>(1-D29)*E29</f>
        <v>0.00109065</v>
      </c>
      <c r="K29" s="65">
        <f>D29</f>
        <v>0.0085</v>
      </c>
      <c r="L29" s="65">
        <f>(1-D29)*H29*p_cure_early</f>
        <v>0.4265432999999999</v>
      </c>
      <c r="M29" s="65">
        <f>(1-D29)*(1-H29)*(1-p_progression)</f>
        <v>0.3881722500000001</v>
      </c>
      <c r="N29" s="65">
        <f>(1-D29)*(H29*(1-p_cure_early)+(1-H29)*p_progression)</f>
        <v>0.17678445</v>
      </c>
      <c r="O29" s="65">
        <f>D29</f>
        <v>0.0085</v>
      </c>
      <c r="P29" s="65">
        <f>1-Q29</f>
        <v>0.743625</v>
      </c>
      <c r="Q29" s="65">
        <f>1-(1-D29)*(1-p_death_advanced)</f>
        <v>0.256375</v>
      </c>
      <c r="R29" s="67">
        <f>R28*I28+S28*L28</f>
        <v>93308.27034118034</v>
      </c>
      <c r="S29" s="67">
        <f>R28*J28+S28*M28</f>
        <v>122.37051156804344</v>
      </c>
      <c r="T29" s="67">
        <f>S28*N28+T28*P28</f>
        <v>77.45552219396906</v>
      </c>
      <c r="U29" s="67">
        <f>U28+R28*K28+S28*O28+T28*Q28</f>
        <v>6491.903625057683</v>
      </c>
      <c r="V29" s="67">
        <f>R29+S29+T29</f>
        <v>93508.09637494235</v>
      </c>
      <c r="W29" s="67">
        <f>R29*J29</f>
        <v>101.76666504760834</v>
      </c>
      <c r="X29" s="67">
        <f>S29*(1-D29)*H29</f>
        <v>57.995913141023784</v>
      </c>
      <c r="Y29" s="67">
        <f>S29*(1-D29)*(1-H29)*p_progression</f>
        <v>15.833612269672821</v>
      </c>
      <c r="Z29" s="67">
        <f>X29+Y29</f>
        <v>73.8295254106966</v>
      </c>
      <c r="AA29" s="67">
        <f>T29*(1-D29)*p_death_advanced</f>
        <v>19.199287563830083</v>
      </c>
      <c r="AB29" s="67">
        <f>(R29+S29)*G29</f>
        <v>56058.384511649034</v>
      </c>
      <c r="AC29" s="67">
        <f>G29*(R29*(1-screen_specificity)+S29*screen_sensitivity)</f>
        <v>3970.3429691881497</v>
      </c>
      <c r="AD29" s="68">
        <f>AB29*cost_screen_test+AC29*cost_followup_test</f>
        <v>5652094.504537621</v>
      </c>
      <c r="AE29" s="68">
        <f>X29*cost_early_treatment</f>
        <v>869938.6971153568</v>
      </c>
      <c r="AF29" s="68">
        <f>T29*cost_advanced_year</f>
        <v>1549110.4438793813</v>
      </c>
      <c r="AG29" s="68">
        <f>AD29+AE29+AF29</f>
        <v>8071143.645532358</v>
      </c>
      <c r="AH29" s="67">
        <f>V29</f>
        <v>93508.09637494235</v>
      </c>
      <c r="AI29" s="67">
        <f>R29*u_healthy+S29*u_early+T29*u_advanced</f>
        <v>84124.05877910183</v>
      </c>
      <c r="AJ29" s="69">
        <f>1/(1+disc_costs)^A29</f>
        <v>0.5536757541863345</v>
      </c>
      <c r="AK29" s="69">
        <f>1/(1+disc_effects)^A29</f>
        <v>0.5536757541863345</v>
      </c>
      <c r="AL29" s="68">
        <f>AG29*AJ29</f>
        <v>4468796.54508637</v>
      </c>
      <c r="AM29" s="67">
        <f>AI29*AK29</f>
        <v>46577.45168973474</v>
      </c>
      <c r="AN29" s="67">
        <f>AH29*AK29</f>
        <v>51773.16578292466</v>
      </c>
      <c r="AO29" s="64" t="str">
        <f>IF(AND(ABS(V29+U29-cohort_size)&lt;0.000001*cohort_size,MIN(I29:Q29)&gt;=0,MAX(I29:Q29)&lt;=1),"OK","CHECK")</f>
        <v>OK</v>
      </c>
    </row>
    <row r="30">
      <c r="A30" s="63">
        <f>A29+1</f>
        <v>21.0</v>
      </c>
      <c r="B30" s="63">
        <f>start_age+A30</f>
        <v>61.0</v>
      </c>
      <c r="C30" s="64" t="str">
        <f>INDEX(age_band_label,MATCH(B30,age_band_start,1))</f>
        <v>60-64</v>
      </c>
      <c r="D30" s="65">
        <f>INDEX(p_background_death,MATCH(B30,age_band_start,1))</f>
        <v>0.0085</v>
      </c>
      <c r="E30" s="65">
        <f>INDEX(p_cancer_onset,MATCH(B30,age_band_start,1))</f>
        <v>0.0011</v>
      </c>
      <c r="F30" s="63">
        <f>IF(AND($B$3="Yes",B30&gt;=$E$3,B30&lt;=$H$3),1,0)</f>
        <v>1.0</v>
      </c>
      <c r="G30" s="66">
        <f>F30*screen_participation</f>
        <v>0.6</v>
      </c>
      <c r="H30" s="65">
        <f>1-(1-p_detect_symptoms)*(1-G30*screen_sensitivity)</f>
        <v>0.47799999999999987</v>
      </c>
      <c r="I30" s="65">
        <f>1-J30-K30</f>
        <v>0.9904093500000001</v>
      </c>
      <c r="J30" s="65">
        <f>(1-D30)*E30</f>
        <v>0.00109065</v>
      </c>
      <c r="K30" s="65">
        <f>D30</f>
        <v>0.0085</v>
      </c>
      <c r="L30" s="65">
        <f>(1-D30)*H30*p_cure_early</f>
        <v>0.4265432999999999</v>
      </c>
      <c r="M30" s="65">
        <f>(1-D30)*(1-H30)*(1-p_progression)</f>
        <v>0.3881722500000001</v>
      </c>
      <c r="N30" s="65">
        <f>(1-D30)*(H30*(1-p_cure_early)+(1-H30)*p_progression)</f>
        <v>0.17678445</v>
      </c>
      <c r="O30" s="65">
        <f>D30</f>
        <v>0.0085</v>
      </c>
      <c r="P30" s="65">
        <f>1-Q30</f>
        <v>0.743625</v>
      </c>
      <c r="Q30" s="65">
        <f>1-(1-D30)*(1-p_death_advanced)</f>
        <v>0.256375</v>
      </c>
      <c r="R30" s="67">
        <f>R29*I29+S29*L29</f>
        <v>92465.57970005962</v>
      </c>
      <c r="S30" s="67">
        <f>R29*J29+S29*M29</f>
        <v>149.2675018566268</v>
      </c>
      <c r="T30" s="67">
        <f>S29*N29+T29*P29</f>
        <v>79.23106627526545</v>
      </c>
      <c r="U30" s="67">
        <f>U29+R29*K29+S29*O29+T29*Q29</f>
        <v>7305.921731808523</v>
      </c>
      <c r="V30" s="67">
        <f>R30+S30+T30</f>
        <v>92694.07826819152</v>
      </c>
      <c r="W30" s="67">
        <f>R30*J30</f>
        <v>100.84758449987004</v>
      </c>
      <c r="X30" s="67">
        <f>S30*(1-D30)*H30</f>
        <v>70.74339202742412</v>
      </c>
      <c r="Y30" s="67">
        <f>S30*(1-D30)*(1-H30)*p_progression</f>
        <v>19.31383401585534</v>
      </c>
      <c r="Z30" s="67">
        <f>X30+Y30</f>
        <v>90.05722604327946</v>
      </c>
      <c r="AA30" s="67">
        <f>T30*(1-D30)*p_death_advanced</f>
        <v>19.639400552981424</v>
      </c>
      <c r="AB30" s="67">
        <f>(R30+S30)*G30</f>
        <v>55568.90832114974</v>
      </c>
      <c r="AC30" s="67">
        <f>G30*(R30*(1-screen_specificity)+S30*screen_sensitivity)</f>
        <v>3946.2466981822845</v>
      </c>
      <c r="AD30" s="68">
        <f>AB30*cost_screen_test+AC30*cost_followup_test</f>
        <v>5613313.947816776</v>
      </c>
      <c r="AE30" s="68">
        <f>X30*cost_early_treatment</f>
        <v>1061150.8804113618</v>
      </c>
      <c r="AF30" s="68">
        <f>T30*cost_advanced_year</f>
        <v>1584621.325505309</v>
      </c>
      <c r="AG30" s="68">
        <f>AD30+AE30+AF30</f>
        <v>8259086.153733447</v>
      </c>
      <c r="AH30" s="67">
        <f>V30</f>
        <v>92694.07826819152</v>
      </c>
      <c r="AI30" s="67">
        <f>R30*u_healthy+S30*u_early+T30*u_advanced</f>
        <v>83389.47619308319</v>
      </c>
      <c r="AJ30" s="69">
        <f>1/(1+disc_costs)^A30</f>
        <v>0.5375492759090627</v>
      </c>
      <c r="AK30" s="69">
        <f>1/(1+disc_effects)^A30</f>
        <v>0.5375492759090627</v>
      </c>
      <c r="AL30" s="68">
        <f>AG30*AJ30</f>
        <v>4439665.781609979</v>
      </c>
      <c r="AM30" s="67">
        <f>AI30*AK30</f>
        <v>44825.95254602789</v>
      </c>
      <c r="AN30" s="67">
        <f>AH30*AK30</f>
        <v>49827.634654124326</v>
      </c>
      <c r="AO30" s="64" t="str">
        <f>IF(AND(ABS(V30+U30-cohort_size)&lt;0.000001*cohort_size,MIN(I30:Q30)&gt;=0,MAX(I30:Q30)&lt;=1),"OK","CHECK")</f>
        <v>OK</v>
      </c>
    </row>
    <row r="31">
      <c r="A31" s="63">
        <f>A30+1</f>
        <v>22.0</v>
      </c>
      <c r="B31" s="63">
        <f>start_age+A31</f>
        <v>62.0</v>
      </c>
      <c r="C31" s="64" t="str">
        <f>INDEX(age_band_label,MATCH(B31,age_band_start,1))</f>
        <v>60-64</v>
      </c>
      <c r="D31" s="65">
        <f>INDEX(p_background_death,MATCH(B31,age_band_start,1))</f>
        <v>0.0085</v>
      </c>
      <c r="E31" s="65">
        <f>INDEX(p_cancer_onset,MATCH(B31,age_band_start,1))</f>
        <v>0.0011</v>
      </c>
      <c r="F31" s="63">
        <f>IF(AND($B$3="Yes",B31&gt;=$E$3,B31&lt;=$H$3),1,0)</f>
        <v>1.0</v>
      </c>
      <c r="G31" s="66">
        <f>F31*screen_participation</f>
        <v>0.6</v>
      </c>
      <c r="H31" s="65">
        <f>1-(1-p_detect_symptoms)*(1-G31*screen_sensitivity)</f>
        <v>0.47799999999999987</v>
      </c>
      <c r="I31" s="65">
        <f>1-J31-K31</f>
        <v>0.9904093500000001</v>
      </c>
      <c r="J31" s="65">
        <f>(1-D31)*E31</f>
        <v>0.00109065</v>
      </c>
      <c r="K31" s="65">
        <f>D31</f>
        <v>0.0085</v>
      </c>
      <c r="L31" s="65">
        <f>(1-D31)*H31*p_cure_early</f>
        <v>0.4265432999999999</v>
      </c>
      <c r="M31" s="65">
        <f>(1-D31)*(1-H31)*(1-p_progression)</f>
        <v>0.3881722500000001</v>
      </c>
      <c r="N31" s="65">
        <f>(1-D31)*(H31*(1-p_cure_early)+(1-H31)*p_progression)</f>
        <v>0.17678445</v>
      </c>
      <c r="O31" s="65">
        <f>D31</f>
        <v>0.0085</v>
      </c>
      <c r="P31" s="65">
        <f>1-Q31</f>
        <v>0.743625</v>
      </c>
      <c r="Q31" s="65">
        <f>1-(1-D31)*(1-p_death_advanced)</f>
        <v>0.256375</v>
      </c>
      <c r="R31" s="67">
        <f>R30*I30+S30*L30</f>
        <v>91642.44374093393</v>
      </c>
      <c r="S31" s="67">
        <f>R30*J30+S30*M30</f>
        <v>158.78908654743606</v>
      </c>
      <c r="T31" s="67">
        <f>S30*N30+T30*P30</f>
        <v>85.30637487754203</v>
      </c>
      <c r="U31" s="67">
        <f>U30+R30*K30+S30*O30+T30*Q30</f>
        <v>8113.460797641133</v>
      </c>
      <c r="V31" s="67">
        <f>R31+S31+T31</f>
        <v>91886.53920235891</v>
      </c>
      <c r="W31" s="67">
        <f>R31*J31</f>
        <v>99.9498312660496</v>
      </c>
      <c r="X31" s="67">
        <f>S31*(1-D31)*H31</f>
        <v>75.25602331103218</v>
      </c>
      <c r="Y31" s="67">
        <f>S31*(1-D31)*(1-H31)*p_progression</f>
        <v>20.54583900018767</v>
      </c>
      <c r="Z31" s="67">
        <f>X31+Y31</f>
        <v>95.80186231121985</v>
      </c>
      <c r="AA31" s="67">
        <f>T31*(1-D31)*p_death_advanced</f>
        <v>21.14531767277073</v>
      </c>
      <c r="AB31" s="67">
        <f>(R31+S31)*G31</f>
        <v>55080.73969648882</v>
      </c>
      <c r="AC31" s="67">
        <f>G31*(R31*(1-screen_specificity)+S31*screen_sensitivity)</f>
        <v>3915.6740534691453</v>
      </c>
      <c r="AD31" s="68">
        <f>AB31*cost_screen_test+AC31*cost_followup_test</f>
        <v>5568096.24436381</v>
      </c>
      <c r="AE31" s="68">
        <f>X31*cost_early_treatment</f>
        <v>1128840.3496654828</v>
      </c>
      <c r="AF31" s="68">
        <f>T31*cost_advanced_year</f>
        <v>1706127.4975508405</v>
      </c>
      <c r="AG31" s="68">
        <f>AD31+AE31+AF31</f>
        <v>8403064.091580134</v>
      </c>
      <c r="AH31" s="67">
        <f>V31</f>
        <v>91886.53920235891</v>
      </c>
      <c r="AI31" s="67">
        <f>R31*u_healthy+S31*u_early+T31*u_advanced</f>
        <v>82660.0885965885</v>
      </c>
      <c r="AJ31" s="69">
        <f>1/(1+disc_costs)^A31</f>
        <v>0.5218925008825851</v>
      </c>
      <c r="AK31" s="69">
        <f>1/(1+disc_effects)^A31</f>
        <v>0.5218925008825851</v>
      </c>
      <c r="AL31" s="68">
        <f>AG31*AJ31</f>
        <v>4385496.133831404</v>
      </c>
      <c r="AM31" s="67">
        <f>AI31*AK31</f>
        <v>43139.68036084963</v>
      </c>
      <c r="AN31" s="67">
        <f>AH31*AK31</f>
        <v>47954.89574176478</v>
      </c>
      <c r="AO31" s="64" t="str">
        <f>IF(AND(ABS(V31+U31-cohort_size)&lt;0.000001*cohort_size,MIN(I31:Q31)&gt;=0,MAX(I31:Q31)&lt;=1),"OK","CHECK")</f>
        <v>OK</v>
      </c>
    </row>
    <row r="32">
      <c r="A32" s="63">
        <f>A31+1</f>
        <v>23.0</v>
      </c>
      <c r="B32" s="63">
        <f>start_age+A32</f>
        <v>63.0</v>
      </c>
      <c r="C32" s="64" t="str">
        <f>INDEX(age_band_label,MATCH(B32,age_band_start,1))</f>
        <v>60-64</v>
      </c>
      <c r="D32" s="65">
        <f>INDEX(p_background_death,MATCH(B32,age_band_start,1))</f>
        <v>0.0085</v>
      </c>
      <c r="E32" s="65">
        <f>INDEX(p_cancer_onset,MATCH(B32,age_band_start,1))</f>
        <v>0.0011</v>
      </c>
      <c r="F32" s="63">
        <f>IF(AND($B$3="Yes",B32&gt;=$E$3,B32&lt;=$H$3),1,0)</f>
        <v>1.0</v>
      </c>
      <c r="G32" s="66">
        <f>F32*screen_participation</f>
        <v>0.6</v>
      </c>
      <c r="H32" s="65">
        <f>1-(1-p_detect_symptoms)*(1-G32*screen_sensitivity)</f>
        <v>0.47799999999999987</v>
      </c>
      <c r="I32" s="65">
        <f>1-J32-K32</f>
        <v>0.9904093500000001</v>
      </c>
      <c r="J32" s="65">
        <f>(1-D32)*E32</f>
        <v>0.00109065</v>
      </c>
      <c r="K32" s="65">
        <f>D32</f>
        <v>0.0085</v>
      </c>
      <c r="L32" s="65">
        <f>(1-D32)*H32*p_cure_early</f>
        <v>0.4265432999999999</v>
      </c>
      <c r="M32" s="65">
        <f>(1-D32)*(1-H32)*(1-p_progression)</f>
        <v>0.3881722500000001</v>
      </c>
      <c r="N32" s="65">
        <f>(1-D32)*(H32*(1-p_cure_early)+(1-H32)*p_progression)</f>
        <v>0.17678445</v>
      </c>
      <c r="O32" s="65">
        <f>D32</f>
        <v>0.0085</v>
      </c>
      <c r="P32" s="65">
        <f>1-Q32</f>
        <v>0.743625</v>
      </c>
      <c r="Q32" s="65">
        <f>1-(1-D32)*(1-p_death_advanced)</f>
        <v>0.256375</v>
      </c>
      <c r="R32" s="67">
        <f>R31*I31+S31*L31</f>
        <v>90831.26355884988</v>
      </c>
      <c r="S32" s="67">
        <f>R31*J31+S31*M31</f>
        <v>161.5873482666126</v>
      </c>
      <c r="T32" s="67">
        <f>S31*N31+T31*P31</f>
        <v>91.50739434960308</v>
      </c>
      <c r="U32" s="67">
        <f>U31+R31*K31+S31*O31+T31*Q31</f>
        <v>8915.641698533955</v>
      </c>
      <c r="V32" s="67">
        <f>R32+S32+T32</f>
        <v>91084.3583014661</v>
      </c>
      <c r="W32" s="67">
        <f>R32*J32</f>
        <v>99.06511760045963</v>
      </c>
      <c r="X32" s="67">
        <f>S32*(1-D32)*H32</f>
        <v>76.58222307543356</v>
      </c>
      <c r="Y32" s="67">
        <f>S32*(1-D32)*(1-H32)*p_progression</f>
        <v>20.90790818272821</v>
      </c>
      <c r="Z32" s="67">
        <f>X32+Y32</f>
        <v>97.49013125816177</v>
      </c>
      <c r="AA32" s="67">
        <f>T32*(1-D32)*p_death_advanced</f>
        <v>22.682395374407864</v>
      </c>
      <c r="AB32" s="67">
        <f>(R32+S32)*G32</f>
        <v>54595.71054426989</v>
      </c>
      <c r="AC32" s="67">
        <f>G32*(R32*(1-screen_specificity)+S32*screen_sensitivity)</f>
        <v>3882.779755743669</v>
      </c>
      <c r="AD32" s="68">
        <f>AB32*cost_screen_test+AC32*cost_followup_test</f>
        <v>5520651.072071766</v>
      </c>
      <c r="AE32" s="68">
        <f>X32*cost_early_treatment</f>
        <v>1148733.3461315033</v>
      </c>
      <c r="AF32" s="68">
        <f>T32*cost_advanced_year</f>
        <v>1830147.8869920615</v>
      </c>
      <c r="AG32" s="68">
        <f>AD32+AE32+AF32</f>
        <v>8499532.305195332</v>
      </c>
      <c r="AH32" s="67">
        <f>V32</f>
        <v>91084.3583014661</v>
      </c>
      <c r="AI32" s="67">
        <f>R32*u_healthy+S32*u_early+T32*u_advanced</f>
        <v>81935.8155158838</v>
      </c>
      <c r="AJ32" s="69">
        <f>1/(1+disc_costs)^A32</f>
        <v>0.5066917484296942</v>
      </c>
      <c r="AK32" s="69">
        <f>1/(1+disc_effects)^A32</f>
        <v>0.5066917484296942</v>
      </c>
      <c r="AL32" s="68">
        <f>AG32*AJ32</f>
        <v>4306642.884554092</v>
      </c>
      <c r="AM32" s="67">
        <f>AI32*AK32</f>
        <v>41516.20162275603</v>
      </c>
      <c r="AN32" s="67">
        <f>AH32*AK32</f>
        <v>46151.69276236659</v>
      </c>
      <c r="AO32" s="64" t="str">
        <f>IF(AND(ABS(V32+U32-cohort_size)&lt;0.000001*cohort_size,MIN(I32:Q32)&gt;=0,MAX(I32:Q32)&lt;=1),"OK","CHECK")</f>
        <v>OK</v>
      </c>
    </row>
    <row r="33">
      <c r="A33" s="63">
        <f>A32+1</f>
        <v>24.0</v>
      </c>
      <c r="B33" s="63">
        <f>start_age+A33</f>
        <v>64.0</v>
      </c>
      <c r="C33" s="64" t="str">
        <f>INDEX(age_band_label,MATCH(B33,age_band_start,1))</f>
        <v>60-64</v>
      </c>
      <c r="D33" s="65">
        <f>INDEX(p_background_death,MATCH(B33,age_band_start,1))</f>
        <v>0.0085</v>
      </c>
      <c r="E33" s="65">
        <f>INDEX(p_cancer_onset,MATCH(B33,age_band_start,1))</f>
        <v>0.0011</v>
      </c>
      <c r="F33" s="63">
        <f>IF(AND($B$3="Yes",B33&gt;=$E$3,B33&lt;=$H$3),1,0)</f>
        <v>1.0</v>
      </c>
      <c r="G33" s="66">
        <f>F33*screen_participation</f>
        <v>0.6</v>
      </c>
      <c r="H33" s="65">
        <f>1-(1-p_detect_symptoms)*(1-G33*screen_sensitivity)</f>
        <v>0.47799999999999987</v>
      </c>
      <c r="I33" s="65">
        <f>1-J33-K33</f>
        <v>0.9904093500000001</v>
      </c>
      <c r="J33" s="65">
        <f>(1-D33)*E33</f>
        <v>0.00109065</v>
      </c>
      <c r="K33" s="65">
        <f>D33</f>
        <v>0.0085</v>
      </c>
      <c r="L33" s="65">
        <f>(1-D33)*H33*p_cure_early</f>
        <v>0.4265432999999999</v>
      </c>
      <c r="M33" s="65">
        <f>(1-D33)*(1-H33)*(1-p_progression)</f>
        <v>0.3881722500000001</v>
      </c>
      <c r="N33" s="65">
        <f>(1-D33)*(H33*(1-p_cure_early)+(1-H33)*p_progression)</f>
        <v>0.17678445</v>
      </c>
      <c r="O33" s="65">
        <f>D33</f>
        <v>0.0085</v>
      </c>
      <c r="P33" s="65">
        <f>1-Q33</f>
        <v>0.743625</v>
      </c>
      <c r="Q33" s="65">
        <f>1-(1-D33)*(1-p_death_advanced)</f>
        <v>0.256375</v>
      </c>
      <c r="R33" s="67">
        <f>R32*I32+S32*L32</f>
        <v>90029.0567017671</v>
      </c>
      <c r="S33" s="67">
        <f>R32*J32+S32*M32</f>
        <v>161.78884214864425</v>
      </c>
      <c r="T33" s="67">
        <f>S32*N32+T32*P32</f>
        <v>96.61331661349514</v>
      </c>
      <c r="U33" s="67">
        <f>U32+R32*K32+S32*O32+T32*Q32</f>
        <v>9712.541139470824</v>
      </c>
      <c r="V33" s="67">
        <f>R33+S33+T33</f>
        <v>90287.45886052924</v>
      </c>
      <c r="W33" s="67">
        <f>R33*J33</f>
        <v>98.19019069178229</v>
      </c>
      <c r="X33" s="67">
        <f>S33*(1-D33)*H33</f>
        <v>76.677718481402</v>
      </c>
      <c r="Y33" s="67">
        <f>S33*(1-D33)*(1-H33)*p_progression</f>
        <v>20.933979627244696</v>
      </c>
      <c r="Z33" s="67">
        <f>X33+Y33</f>
        <v>97.61169810864669</v>
      </c>
      <c r="AA33" s="67">
        <f>T33*(1-D33)*p_death_advanced</f>
        <v>23.94802585557011</v>
      </c>
      <c r="AB33" s="67">
        <f>(R33+S33)*G33</f>
        <v>54114.50732634944</v>
      </c>
      <c r="AC33" s="67">
        <f>G33*(R33*(1-screen_specificity)+S33*screen_sensitivity)</f>
        <v>3849.1716951766457</v>
      </c>
      <c r="AD33" s="68">
        <f>AB33*cost_screen_test+AC33*cost_followup_test</f>
        <v>5472606.914967129</v>
      </c>
      <c r="AE33" s="68">
        <f>X33*cost_early_treatment</f>
        <v>1150165.7772210299</v>
      </c>
      <c r="AF33" s="68">
        <f>T33*cost_advanced_year</f>
        <v>1932266.3322699028</v>
      </c>
      <c r="AG33" s="68">
        <f>AD33+AE33+AF33</f>
        <v>8555039.024458062</v>
      </c>
      <c r="AH33" s="67">
        <f>V33</f>
        <v>90287.45886052924</v>
      </c>
      <c r="AI33" s="67">
        <f>R33*u_healthy+S33*u_early+T33*u_advanced</f>
        <v>81216.80887155415</v>
      </c>
      <c r="AJ33" s="69">
        <f>1/(1+disc_costs)^A33</f>
        <v>0.49193373633950893</v>
      </c>
      <c r="AK33" s="69">
        <f>1/(1+disc_effects)^A33</f>
        <v>0.49193373633950893</v>
      </c>
      <c r="AL33" s="68">
        <f>AG33*AJ33</f>
        <v>4208512.311831962</v>
      </c>
      <c r="AM33" s="67">
        <f>AI33*AK33</f>
        <v>39953.288241755414</v>
      </c>
      <c r="AN33" s="67">
        <f>AH33*AK33</f>
        <v>44415.44698185985</v>
      </c>
      <c r="AO33" s="64" t="str">
        <f>IF(AND(ABS(V33+U33-cohort_size)&lt;0.000001*cohort_size,MIN(I33:Q33)&gt;=0,MAX(I33:Q33)&lt;=1),"OK","CHECK")</f>
        <v>OK</v>
      </c>
    </row>
    <row r="34">
      <c r="A34" s="63">
        <f>A33+1</f>
        <v>25.0</v>
      </c>
      <c r="B34" s="63">
        <f>start_age+A34</f>
        <v>65.0</v>
      </c>
      <c r="C34" s="64" t="str">
        <f>INDEX(age_band_label,MATCH(B34,age_band_start,1))</f>
        <v>65-69</v>
      </c>
      <c r="D34" s="65">
        <f>INDEX(p_background_death,MATCH(B34,age_band_start,1))</f>
        <v>0.013</v>
      </c>
      <c r="E34" s="65">
        <f>INDEX(p_cancer_onset,MATCH(B34,age_band_start,1))</f>
        <v>0.0015</v>
      </c>
      <c r="F34" s="63">
        <f>IF(AND($B$3="Yes",B34&gt;=$E$3,B34&lt;=$H$3),1,0)</f>
        <v>1.0</v>
      </c>
      <c r="G34" s="66">
        <f>F34*screen_participation</f>
        <v>0.6</v>
      </c>
      <c r="H34" s="65">
        <f>1-(1-p_detect_symptoms)*(1-G34*screen_sensitivity)</f>
        <v>0.47799999999999987</v>
      </c>
      <c r="I34" s="65">
        <f>1-J34-K34</f>
        <v>0.9855195</v>
      </c>
      <c r="J34" s="65">
        <f>(1-D34)*E34</f>
        <v>0.0014805</v>
      </c>
      <c r="K34" s="65">
        <f>D34</f>
        <v>0.013</v>
      </c>
      <c r="L34" s="65">
        <f>(1-D34)*H34*p_cure_early</f>
        <v>0.4246073999999999</v>
      </c>
      <c r="M34" s="65">
        <f>(1-D34)*(1-H34)*(1-p_progression)</f>
        <v>0.3864105000000001</v>
      </c>
      <c r="N34" s="65">
        <f>(1-D34)*(H34*(1-p_cure_early)+(1-H34)*p_progression)</f>
        <v>0.1759821</v>
      </c>
      <c r="O34" s="65">
        <f>D34</f>
        <v>0.013</v>
      </c>
      <c r="P34" s="65">
        <f>1-Q34</f>
        <v>0.74025</v>
      </c>
      <c r="Q34" s="65">
        <f>1-(1-D34)*(1-p_death_advanced)</f>
        <v>0.25975000000000004</v>
      </c>
      <c r="R34" s="67">
        <f>R33*I33+S33*L33</f>
        <v>89234.62947574357</v>
      </c>
      <c r="S34" s="67">
        <f>R33*J33+S33*M33</f>
        <v>160.99212957351637</v>
      </c>
      <c r="T34" s="67">
        <f>S33*N33+T33*P33</f>
        <v>100.44582904209523</v>
      </c>
      <c r="U34" s="67">
        <f>U33+R33*K33+S33*O33+T33*Q33</f>
        <v>10503.932565640893</v>
      </c>
      <c r="V34" s="67">
        <f>R34+S34+T34</f>
        <v>89496.06743435917</v>
      </c>
      <c r="W34" s="67">
        <f>R34*J34</f>
        <v>132.11186893883837</v>
      </c>
      <c r="X34" s="67">
        <f>S34*(1-D34)*H34</f>
        <v>75.95383284297097</v>
      </c>
      <c r="Y34" s="67">
        <f>S34*(1-D34)*(1-H34)*p_progression</f>
        <v>20.73634976152242</v>
      </c>
      <c r="Z34" s="67">
        <f>X34+Y34</f>
        <v>96.69018260449339</v>
      </c>
      <c r="AA34" s="67">
        <f>T34*(1-D34)*p_death_advanced</f>
        <v>24.785008316136995</v>
      </c>
      <c r="AB34" s="67">
        <f>(R34+S34)*G34</f>
        <v>53637.372963190246</v>
      </c>
      <c r="AC34" s="67">
        <f>G34*(R34*(1-screen_specificity)+S34*screen_sensitivity)</f>
        <v>3815.4711324021036</v>
      </c>
      <c r="AD34" s="68">
        <f>AB34*cost_screen_test+AC34*cost_followup_test</f>
        <v>5424592.321297811</v>
      </c>
      <c r="AE34" s="68">
        <f>X34*cost_early_treatment</f>
        <v>1139307.4926445645</v>
      </c>
      <c r="AF34" s="68">
        <f>T34*cost_advanced_year</f>
        <v>2008916.5808419045</v>
      </c>
      <c r="AG34" s="68">
        <f>AD34+AE34+AF34</f>
        <v>8572816.39478428</v>
      </c>
      <c r="AH34" s="67">
        <f>V34</f>
        <v>89496.06743435917</v>
      </c>
      <c r="AI34" s="67">
        <f>R34*u_healthy+S34*u_early+T34*u_advanced</f>
        <v>80503.25504427985</v>
      </c>
      <c r="AJ34" s="69">
        <f>1/(1+disc_costs)^A34</f>
        <v>0.47760556926165915</v>
      </c>
      <c r="AK34" s="69">
        <f>1/(1+disc_effects)^A34</f>
        <v>0.47760556926165915</v>
      </c>
      <c r="AL34" s="68">
        <f>AG34*AJ34</f>
        <v>4094424.85440663</v>
      </c>
      <c r="AM34" s="67">
        <f>AI34*AK34</f>
        <v>38448.80295283981</v>
      </c>
      <c r="AN34" s="67">
        <f>AH34*AK34</f>
        <v>42743.82023366694</v>
      </c>
      <c r="AO34" s="64" t="str">
        <f>IF(AND(ABS(V34+U34-cohort_size)&lt;0.000001*cohort_size,MIN(I34:Q34)&gt;=0,MAX(I34:Q34)&lt;=1),"OK","CHECK")</f>
        <v>OK</v>
      </c>
    </row>
    <row r="35">
      <c r="A35" s="63">
        <f>A34+1</f>
        <v>26.0</v>
      </c>
      <c r="B35" s="63">
        <f>start_age+A35</f>
        <v>66.0</v>
      </c>
      <c r="C35" s="64" t="str">
        <f>INDEX(age_band_label,MATCH(B35,age_band_start,1))</f>
        <v>65-69</v>
      </c>
      <c r="D35" s="65">
        <f>INDEX(p_background_death,MATCH(B35,age_band_start,1))</f>
        <v>0.013</v>
      </c>
      <c r="E35" s="65">
        <f>INDEX(p_cancer_onset,MATCH(B35,age_band_start,1))</f>
        <v>0.0015</v>
      </c>
      <c r="F35" s="63">
        <f>IF(AND($B$3="Yes",B35&gt;=$E$3,B35&lt;=$H$3),1,0)</f>
        <v>1.0</v>
      </c>
      <c r="G35" s="66">
        <f>F35*screen_participation</f>
        <v>0.6</v>
      </c>
      <c r="H35" s="65">
        <f>1-(1-p_detect_symptoms)*(1-G35*screen_sensitivity)</f>
        <v>0.47799999999999987</v>
      </c>
      <c r="I35" s="65">
        <f>1-J35-K35</f>
        <v>0.9855195</v>
      </c>
      <c r="J35" s="65">
        <f>(1-D35)*E35</f>
        <v>0.0014805</v>
      </c>
      <c r="K35" s="65">
        <f>D35</f>
        <v>0.013</v>
      </c>
      <c r="L35" s="65">
        <f>(1-D35)*H35*p_cure_early</f>
        <v>0.4246073999999999</v>
      </c>
      <c r="M35" s="65">
        <f>(1-D35)*(1-H35)*(1-p_progression)</f>
        <v>0.3864105000000001</v>
      </c>
      <c r="N35" s="65">
        <f>(1-D35)*(H35*(1-p_cure_early)+(1-H35)*p_progression)</f>
        <v>0.1759821</v>
      </c>
      <c r="O35" s="65">
        <f>D35</f>
        <v>0.013</v>
      </c>
      <c r="P35" s="65">
        <f>1-Q35</f>
        <v>0.74025</v>
      </c>
      <c r="Q35" s="65">
        <f>1-(1-D35)*(1-p_death_advanced)</f>
        <v>0.25975000000000004</v>
      </c>
      <c r="R35" s="67">
        <f>R34*I34+S34*L34</f>
        <v>88010.82587317874</v>
      </c>
      <c r="S35" s="67">
        <f>R34*J34+S34*M34</f>
        <v>194.32091822340564</v>
      </c>
      <c r="T35" s="67">
        <f>S34*N34+T34*P34</f>
        <v>102.6867579942305</v>
      </c>
      <c r="U35" s="67">
        <f>U34+R34*K34+S34*O34+T34*Q34</f>
        <v>11692.1664506037</v>
      </c>
      <c r="V35" s="67">
        <f>R35+S35+T35</f>
        <v>88307.83354939637</v>
      </c>
      <c r="W35" s="67">
        <f>R35*J35</f>
        <v>130.30002770524112</v>
      </c>
      <c r="X35" s="67">
        <f>S35*(1-D35)*H35</f>
        <v>91.67788872494764</v>
      </c>
      <c r="Y35" s="67">
        <f>S35*(1-D35)*(1-H35)*p_progression</f>
        <v>25.029214390388436</v>
      </c>
      <c r="Z35" s="67">
        <f>X35+Y35</f>
        <v>116.70710311533607</v>
      </c>
      <c r="AA35" s="67">
        <f>T35*(1-D35)*p_death_advanced</f>
        <v>25.337957535076377</v>
      </c>
      <c r="AB35" s="67">
        <f>(R35+S35)*G35</f>
        <v>52923.08807484128</v>
      </c>
      <c r="AC35" s="67">
        <f>G35*(R35*(1-screen_specificity)+S35*screen_sensitivity)</f>
        <v>3778.069472327335</v>
      </c>
      <c r="AD35" s="68">
        <f>AB35*cost_screen_test+AC35*cost_followup_test</f>
        <v>5365762.114572573</v>
      </c>
      <c r="AE35" s="68">
        <f>X35*cost_early_treatment</f>
        <v>1375168.3308742146</v>
      </c>
      <c r="AF35" s="68">
        <f>T35*cost_advanced_year</f>
        <v>2053735.15988461</v>
      </c>
      <c r="AG35" s="68">
        <f>AD35+AE35+AF35</f>
        <v>8794665.605331399</v>
      </c>
      <c r="AH35" s="67">
        <f>V35</f>
        <v>88307.83354939637</v>
      </c>
      <c r="AI35" s="67">
        <f>R35*u_healthy+S35*u_early+T35*u_advanced</f>
        <v>79431.3937832476</v>
      </c>
      <c r="AJ35" s="69">
        <f>1/(1+disc_costs)^A35</f>
        <v>0.463694727438504</v>
      </c>
      <c r="AK35" s="69">
        <f>1/(1+disc_effects)^A35</f>
        <v>0.463694727438504</v>
      </c>
      <c r="AL35" s="68">
        <f>AG35*AJ35</f>
        <v>4078040.0707769287</v>
      </c>
      <c r="AM35" s="67">
        <f>AI35*AK35</f>
        <v>36831.918490383476</v>
      </c>
      <c r="AN35" s="67">
        <f>AH35*AK35</f>
        <v>40947.87680837213</v>
      </c>
      <c r="AO35" s="64" t="str">
        <f>IF(AND(ABS(V35+U35-cohort_size)&lt;0.000001*cohort_size,MIN(I35:Q35)&gt;=0,MAX(I35:Q35)&lt;=1),"OK","CHECK")</f>
        <v>OK</v>
      </c>
    </row>
    <row r="36">
      <c r="A36" s="63">
        <f>A35+1</f>
        <v>27.0</v>
      </c>
      <c r="B36" s="63">
        <f>start_age+A36</f>
        <v>67.0</v>
      </c>
      <c r="C36" s="64" t="str">
        <f>INDEX(age_band_label,MATCH(B36,age_band_start,1))</f>
        <v>65-69</v>
      </c>
      <c r="D36" s="65">
        <f>INDEX(p_background_death,MATCH(B36,age_band_start,1))</f>
        <v>0.013</v>
      </c>
      <c r="E36" s="65">
        <f>INDEX(p_cancer_onset,MATCH(B36,age_band_start,1))</f>
        <v>0.0015</v>
      </c>
      <c r="F36" s="63">
        <f>IF(AND($B$3="Yes",B36&gt;=$E$3,B36&lt;=$H$3),1,0)</f>
        <v>1.0</v>
      </c>
      <c r="G36" s="66">
        <f>F36*screen_participation</f>
        <v>0.6</v>
      </c>
      <c r="H36" s="65">
        <f>1-(1-p_detect_symptoms)*(1-G36*screen_sensitivity)</f>
        <v>0.47799999999999987</v>
      </c>
      <c r="I36" s="65">
        <f>1-J36-K36</f>
        <v>0.9855195</v>
      </c>
      <c r="J36" s="65">
        <f>(1-D36)*E36</f>
        <v>0.0014805</v>
      </c>
      <c r="K36" s="65">
        <f>D36</f>
        <v>0.013</v>
      </c>
      <c r="L36" s="65">
        <f>(1-D36)*H36*p_cure_early</f>
        <v>0.4246073999999999</v>
      </c>
      <c r="M36" s="65">
        <f>(1-D36)*(1-H36)*(1-p_progression)</f>
        <v>0.3864105000000001</v>
      </c>
      <c r="N36" s="65">
        <f>(1-D36)*(H36*(1-p_cure_early)+(1-H36)*p_progression)</f>
        <v>0.1759821</v>
      </c>
      <c r="O36" s="65">
        <f>D36</f>
        <v>0.013</v>
      </c>
      <c r="P36" s="65">
        <f>1-Q36</f>
        <v>0.74025</v>
      </c>
      <c r="Q36" s="65">
        <f>1-(1-D36)*(1-p_death_advanced)</f>
        <v>0.25975000000000004</v>
      </c>
      <c r="R36" s="67">
        <f>R35*I35+S35*L35</f>
        <v>86818.89520897463</v>
      </c>
      <c r="S36" s="67">
        <f>R35*J35+S35*M35</f>
        <v>205.38767087640645</v>
      </c>
      <c r="T36" s="67">
        <f>S35*N35+T35*P35</f>
        <v>110.21087586811231</v>
      </c>
      <c r="U36" s="67">
        <f>U35+R35*K35+S35*O35+T35*Q35</f>
        <v>12865.506244280929</v>
      </c>
      <c r="V36" s="67">
        <f>R36+S36+T36</f>
        <v>87134.49375571914</v>
      </c>
      <c r="W36" s="67">
        <f>R36*J36</f>
        <v>128.53537435688693</v>
      </c>
      <c r="X36" s="67">
        <f>S36*(1-D36)*H36</f>
        <v>96.89902769209625</v>
      </c>
      <c r="Y36" s="67">
        <f>S36*(1-D36)*(1-H36)*p_progression</f>
        <v>26.454650865729224</v>
      </c>
      <c r="Z36" s="67">
        <f>X36+Y36</f>
        <v>123.35367855782548</v>
      </c>
      <c r="AA36" s="67">
        <f>T36*(1-D36)*p_death_advanced</f>
        <v>27.194533620456713</v>
      </c>
      <c r="AB36" s="67">
        <f>(R36+S36)*G36</f>
        <v>52214.56972791062</v>
      </c>
      <c r="AC36" s="67">
        <f>G36*(R36*(1-screen_specificity)+S36*screen_sensitivity)</f>
        <v>3732.6564205450222</v>
      </c>
      <c r="AD36" s="68">
        <f>AB36*cost_screen_test+AC36*cost_followup_test</f>
        <v>5299093.512382341</v>
      </c>
      <c r="AE36" s="68">
        <f>X36*cost_early_treatment</f>
        <v>1453485.415381444</v>
      </c>
      <c r="AF36" s="68">
        <f>T36*cost_advanced_year</f>
        <v>2204217.5173622463</v>
      </c>
      <c r="AG36" s="68">
        <f>AD36+AE36+AF36</f>
        <v>8956796.44512603</v>
      </c>
      <c r="AH36" s="67">
        <f>V36</f>
        <v>87134.49375571914</v>
      </c>
      <c r="AI36" s="67">
        <f>R36*u_healthy+S36*u_early+T36*u_advanced</f>
        <v>78372.20119004959</v>
      </c>
      <c r="AJ36" s="69">
        <f>1/(1+disc_costs)^A36</f>
        <v>0.4501890557655378</v>
      </c>
      <c r="AK36" s="69">
        <f>1/(1+disc_effects)^A36</f>
        <v>0.4501890557655378</v>
      </c>
      <c r="AL36" s="68">
        <f>AG36*AJ36</f>
        <v>4032251.7343154135</v>
      </c>
      <c r="AM36" s="67">
        <f>AI36*AK36</f>
        <v>35282.30725201518</v>
      </c>
      <c r="AN36" s="67">
        <f>AH36*AK36</f>
        <v>39226.99546849535</v>
      </c>
      <c r="AO36" s="64" t="str">
        <f>IF(AND(ABS(V36+U36-cohort_size)&lt;0.000001*cohort_size,MIN(I36:Q36)&gt;=0,MAX(I36:Q36)&lt;=1),"OK","CHECK")</f>
        <v>OK</v>
      </c>
    </row>
    <row r="37">
      <c r="A37" s="63">
        <f>A36+1</f>
        <v>28.0</v>
      </c>
      <c r="B37" s="63">
        <f>start_age+A37</f>
        <v>68.0</v>
      </c>
      <c r="C37" s="64" t="str">
        <f>INDEX(age_band_label,MATCH(B37,age_band_start,1))</f>
        <v>65-69</v>
      </c>
      <c r="D37" s="65">
        <f>INDEX(p_background_death,MATCH(B37,age_band_start,1))</f>
        <v>0.013</v>
      </c>
      <c r="E37" s="65">
        <f>INDEX(p_cancer_onset,MATCH(B37,age_band_start,1))</f>
        <v>0.0015</v>
      </c>
      <c r="F37" s="63">
        <f>IF(AND($B$3="Yes",B37&gt;=$E$3,B37&lt;=$H$3),1,0)</f>
        <v>1.0</v>
      </c>
      <c r="G37" s="66">
        <f>F37*screen_participation</f>
        <v>0.6</v>
      </c>
      <c r="H37" s="65">
        <f>1-(1-p_detect_symptoms)*(1-G37*screen_sensitivity)</f>
        <v>0.47799999999999987</v>
      </c>
      <c r="I37" s="65">
        <f>1-J37-K37</f>
        <v>0.9855195</v>
      </c>
      <c r="J37" s="65">
        <f>(1-D37)*E37</f>
        <v>0.0014805</v>
      </c>
      <c r="K37" s="65">
        <f>D37</f>
        <v>0.013</v>
      </c>
      <c r="L37" s="65">
        <f>(1-D37)*H37*p_cure_early</f>
        <v>0.4246073999999999</v>
      </c>
      <c r="M37" s="65">
        <f>(1-D37)*(1-H37)*(1-p_progression)</f>
        <v>0.3864105000000001</v>
      </c>
      <c r="N37" s="65">
        <f>(1-D37)*(H37*(1-p_cure_early)+(1-H37)*p_progression)</f>
        <v>0.1759821</v>
      </c>
      <c r="O37" s="65">
        <f>D37</f>
        <v>0.013</v>
      </c>
      <c r="P37" s="65">
        <f>1-Q37</f>
        <v>0.74025</v>
      </c>
      <c r="Q37" s="65">
        <f>1-(1-D37)*(1-p_death_advanced)</f>
        <v>0.25975000000000004</v>
      </c>
      <c r="R37" s="67">
        <f>R36*I36+S36*L36</f>
        <v>85648.92332182395</v>
      </c>
      <c r="S37" s="67">
        <f>R36*J36+S36*M36</f>
        <v>207.8993269540746</v>
      </c>
      <c r="T37" s="67">
        <f>S36*N36+T36*P36</f>
        <v>117.72815449630897</v>
      </c>
      <c r="U37" s="67">
        <f>U36+R36*K36+S36*O36+T36*Q36</f>
        <v>14025.449196725735</v>
      </c>
      <c r="V37" s="67">
        <f>R37+S37+T37</f>
        <v>85974.55080327434</v>
      </c>
      <c r="W37" s="67">
        <f>R37*J37</f>
        <v>126.80323097796037</v>
      </c>
      <c r="X37" s="67">
        <f>S37*(1-D37)*H37</f>
        <v>98.083991866355</v>
      </c>
      <c r="Y37" s="67">
        <f>S37*(1-D37)*(1-H37)*p_progression</f>
        <v>26.778160959329156</v>
      </c>
      <c r="Z37" s="67">
        <f>X37+Y37</f>
        <v>124.86215282568416</v>
      </c>
      <c r="AA37" s="67">
        <f>T37*(1-D37)*p_death_advanced</f>
        <v>29.049422121964238</v>
      </c>
      <c r="AB37" s="67">
        <f>(R37+S37)*G37</f>
        <v>51514.09358926682</v>
      </c>
      <c r="AC37" s="67">
        <f>G37*(R37*(1-screen_specificity)+S37*screen_sensitivity)</f>
        <v>3684.572496837315</v>
      </c>
      <c r="AD37" s="68">
        <f>AB37*cost_screen_test+AC37*cost_followup_test</f>
        <v>5229995.30451532</v>
      </c>
      <c r="AE37" s="68">
        <f>X37*cost_early_treatment</f>
        <v>1471259.877995325</v>
      </c>
      <c r="AF37" s="68">
        <f>T37*cost_advanced_year</f>
        <v>2354563.0899261795</v>
      </c>
      <c r="AG37" s="68">
        <f>AD37+AE37+AF37</f>
        <v>9055818.272436824</v>
      </c>
      <c r="AH37" s="67">
        <f>V37</f>
        <v>85974.55080327434</v>
      </c>
      <c r="AI37" s="67">
        <f>R37*u_healthy+S37*u_early+T37*u_advanced</f>
        <v>77325.4959025255</v>
      </c>
      <c r="AJ37" s="69">
        <f>1/(1+disc_costs)^A37</f>
        <v>0.4370767531704251</v>
      </c>
      <c r="AK37" s="69">
        <f>1/(1+disc_effects)^A37</f>
        <v>0.4370767531704251</v>
      </c>
      <c r="AL37" s="68">
        <f>AG37*AJ37</f>
        <v>3958087.647818095</v>
      </c>
      <c r="AM37" s="67">
        <f>AI37*AK37</f>
        <v>33797.17668636885</v>
      </c>
      <c r="AN37" s="67">
        <f>AH37*AK37</f>
        <v>37577.47752038091</v>
      </c>
      <c r="AO37" s="64" t="str">
        <f>IF(AND(ABS(V37+U37-cohort_size)&lt;0.000001*cohort_size,MIN(I37:Q37)&gt;=0,MAX(I37:Q37)&lt;=1),"OK","CHECK")</f>
        <v>OK</v>
      </c>
    </row>
    <row r="38">
      <c r="A38" s="63">
        <f>A37+1</f>
        <v>29.0</v>
      </c>
      <c r="B38" s="63">
        <f>start_age+A38</f>
        <v>69.0</v>
      </c>
      <c r="C38" s="64" t="str">
        <f>INDEX(age_band_label,MATCH(B38,age_band_start,1))</f>
        <v>65-69</v>
      </c>
      <c r="D38" s="65">
        <f>INDEX(p_background_death,MATCH(B38,age_band_start,1))</f>
        <v>0.013</v>
      </c>
      <c r="E38" s="65">
        <f>INDEX(p_cancer_onset,MATCH(B38,age_band_start,1))</f>
        <v>0.0015</v>
      </c>
      <c r="F38" s="63">
        <f>IF(AND($B$3="Yes",B38&gt;=$E$3,B38&lt;=$H$3),1,0)</f>
        <v>1.0</v>
      </c>
      <c r="G38" s="66">
        <f>F38*screen_participation</f>
        <v>0.6</v>
      </c>
      <c r="H38" s="65">
        <f>1-(1-p_detect_symptoms)*(1-G38*screen_sensitivity)</f>
        <v>0.47799999999999987</v>
      </c>
      <c r="I38" s="65">
        <f>1-J38-K38</f>
        <v>0.9855195</v>
      </c>
      <c r="J38" s="65">
        <f>(1-D38)*E38</f>
        <v>0.0014805</v>
      </c>
      <c r="K38" s="65">
        <f>D38</f>
        <v>0.013</v>
      </c>
      <c r="L38" s="65">
        <f>(1-D38)*H38*p_cure_early</f>
        <v>0.4246073999999999</v>
      </c>
      <c r="M38" s="65">
        <f>(1-D38)*(1-H38)*(1-p_progression)</f>
        <v>0.3864105000000001</v>
      </c>
      <c r="N38" s="65">
        <f>(1-D38)*(H38*(1-p_cure_early)+(1-H38)*p_progression)</f>
        <v>0.1759821</v>
      </c>
      <c r="O38" s="65">
        <f>D38</f>
        <v>0.013</v>
      </c>
      <c r="P38" s="65">
        <f>1-Q38</f>
        <v>0.74025</v>
      </c>
      <c r="Q38" s="65">
        <f>1-(1-D38)*(1-p_death_advanced)</f>
        <v>0.25975000000000004</v>
      </c>
      <c r="R38" s="67">
        <f>R37*I37+S37*L37</f>
        <v>84496.959680342</v>
      </c>
      <c r="S38" s="67">
        <f>R37*J37+S37*M37</f>
        <v>207.13771385594782</v>
      </c>
      <c r="T38" s="67">
        <f>S37*N37+T37*P37</f>
        <v>123.73482651185736</v>
      </c>
      <c r="U38" s="67">
        <f>U37+R37*K37+S37*O37+T37*Q37</f>
        <v>15172.167779290265</v>
      </c>
      <c r="V38" s="67">
        <f>R38+S38+T38</f>
        <v>84827.83222070981</v>
      </c>
      <c r="W38" s="67">
        <f>R38*J38</f>
        <v>125.09774880674634</v>
      </c>
      <c r="X38" s="67">
        <f>S38*(1-D38)*H38</f>
        <v>97.72467346924218</v>
      </c>
      <c r="Y38" s="67">
        <f>S38*(1-D38)*(1-H38)*p_progression</f>
        <v>26.68006252664458</v>
      </c>
      <c r="Z38" s="67">
        <f>X38+Y38</f>
        <v>124.40473599588675</v>
      </c>
      <c r="AA38" s="67">
        <f>T38*(1-D38)*p_death_advanced</f>
        <v>30.531568441800804</v>
      </c>
      <c r="AB38" s="67">
        <f>(R38+S38)*G38</f>
        <v>50822.45843651877</v>
      </c>
      <c r="AC38" s="67">
        <f>G38*(R38*(1-screen_specificity)+S38*screen_sensitivity)</f>
        <v>3635.87014639386</v>
      </c>
      <c r="AD38" s="68">
        <f>AB38*cost_screen_test+AC38*cost_followup_test</f>
        <v>5160543.899489423</v>
      </c>
      <c r="AE38" s="68">
        <f>X38*cost_early_treatment</f>
        <v>1465870.1020386326</v>
      </c>
      <c r="AF38" s="68">
        <f>T38*cost_advanced_year</f>
        <v>2474696.530237147</v>
      </c>
      <c r="AG38" s="68">
        <f>AD38+AE38+AF38</f>
        <v>9101110.531765204</v>
      </c>
      <c r="AH38" s="67">
        <f>V38</f>
        <v>84827.83222070981</v>
      </c>
      <c r="AI38" s="67">
        <f>R38*u_healthy+S38*u_early+T38*u_advanced</f>
        <v>76291.38492366688</v>
      </c>
      <c r="AJ38" s="69">
        <f>1/(1+disc_costs)^A38</f>
        <v>0.42434636230138356</v>
      </c>
      <c r="AK38" s="69">
        <f>1/(1+disc_effects)^A38</f>
        <v>0.42434636230138356</v>
      </c>
      <c r="AL38" s="68">
        <f>AG38*AJ38</f>
        <v>3862023.147057375</v>
      </c>
      <c r="AM38" s="67">
        <f>AI38*AK38</f>
        <v>32373.971667292655</v>
      </c>
      <c r="AN38" s="67">
        <f>AH38*AK38</f>
        <v>35996.382024770304</v>
      </c>
      <c r="AO38" s="64" t="str">
        <f>IF(AND(ABS(V38+U38-cohort_size)&lt;0.000001*cohort_size,MIN(I38:Q38)&gt;=0,MAX(I38:Q38)&lt;=1),"OK","CHECK")</f>
        <v>OK</v>
      </c>
    </row>
    <row r="39">
      <c r="A39" s="63">
        <f>A38+1</f>
        <v>30.0</v>
      </c>
      <c r="B39" s="63">
        <f>start_age+A39</f>
        <v>70.0</v>
      </c>
      <c r="C39" s="64" t="str">
        <f>INDEX(age_band_label,MATCH(B39,age_band_start,1))</f>
        <v>70-74</v>
      </c>
      <c r="D39" s="65">
        <f>INDEX(p_background_death,MATCH(B39,age_band_start,1))</f>
        <v>0.021</v>
      </c>
      <c r="E39" s="65">
        <f>INDEX(p_cancer_onset,MATCH(B39,age_band_start,1))</f>
        <v>0.0018</v>
      </c>
      <c r="F39" s="63">
        <f>IF(AND($B$3="Yes",B39&gt;=$E$3,B39&lt;=$H$3),1,0)</f>
        <v>1.0</v>
      </c>
      <c r="G39" s="66">
        <f>F39*screen_participation</f>
        <v>0.6</v>
      </c>
      <c r="H39" s="65">
        <f>1-(1-p_detect_symptoms)*(1-G39*screen_sensitivity)</f>
        <v>0.47799999999999987</v>
      </c>
      <c r="I39" s="65">
        <f>1-J39-K39</f>
        <v>0.9772377999999999</v>
      </c>
      <c r="J39" s="65">
        <f>(1-D39)*E39</f>
        <v>0.0017622</v>
      </c>
      <c r="K39" s="65">
        <f>D39</f>
        <v>0.021</v>
      </c>
      <c r="L39" s="65">
        <f>(1-D39)*H39*p_cure_early</f>
        <v>0.4211657999999999</v>
      </c>
      <c r="M39" s="65">
        <f>(1-D39)*(1-H39)*(1-p_progression)</f>
        <v>0.3832785000000001</v>
      </c>
      <c r="N39" s="65">
        <f>(1-D39)*(H39*(1-p_cure_early)+(1-H39)*p_progression)</f>
        <v>0.1745557</v>
      </c>
      <c r="O39" s="65">
        <f>D39</f>
        <v>0.021</v>
      </c>
      <c r="P39" s="65">
        <f>1-Q39</f>
        <v>0.73425</v>
      </c>
      <c r="Q39" s="65">
        <f>1-(1-D39)*(1-p_death_advanced)</f>
        <v>0.26575000000000004</v>
      </c>
      <c r="R39" s="67">
        <f>R38*I38+S38*L38</f>
        <v>83361.35366181313</v>
      </c>
      <c r="S39" s="67">
        <f>R38*J38+S38*M38</f>
        <v>205.13793638668008</v>
      </c>
      <c r="T39" s="67">
        <f>S38*N38+T38*P38</f>
        <v>128.0472351989712</v>
      </c>
      <c r="U39" s="67">
        <f>U38+R38*K38+S38*O38+T38*Q38</f>
        <v>16305.461166601292</v>
      </c>
      <c r="V39" s="67">
        <f>R39+S39+T39</f>
        <v>83694.5388333988</v>
      </c>
      <c r="W39" s="67">
        <f>R39*J39</f>
        <v>146.8993774228471</v>
      </c>
      <c r="X39" s="67">
        <f>S39*(1-D39)*H39</f>
        <v>95.99675898738356</v>
      </c>
      <c r="Y39" s="67">
        <f>S39*(1-D39)*(1-H39)*p_progression</f>
        <v>26.20832018379406</v>
      </c>
      <c r="Z39" s="67">
        <f>X39+Y39</f>
        <v>122.20507917117762</v>
      </c>
      <c r="AA39" s="67">
        <f>T39*(1-D39)*p_death_advanced</f>
        <v>31.339560814948204</v>
      </c>
      <c r="AB39" s="67">
        <f>(R39+S39)*G39</f>
        <v>50139.89495891989</v>
      </c>
      <c r="AC39" s="67">
        <f>G39*(R39*(1-screen_specificity)+S39*screen_sensitivity)</f>
        <v>3587.334787078555</v>
      </c>
      <c r="AD39" s="68">
        <f>AB39*cost_screen_test+AC39*cost_followup_test</f>
        <v>5091531.635846152</v>
      </c>
      <c r="AE39" s="68">
        <f>X39*cost_early_treatment</f>
        <v>1439951.3848107534</v>
      </c>
      <c r="AF39" s="68">
        <f>T39*cost_advanced_year</f>
        <v>2560944.703979424</v>
      </c>
      <c r="AG39" s="68">
        <f>AD39+AE39+AF39</f>
        <v>9092427.72463633</v>
      </c>
      <c r="AH39" s="67">
        <f>V39</f>
        <v>83694.5388333988</v>
      </c>
      <c r="AI39" s="67">
        <f>R39*u_healthy+S39*u_early+T39*u_advanced</f>
        <v>75270.01152091994</v>
      </c>
      <c r="AJ39" s="69">
        <f>1/(1+disc_costs)^A39</f>
        <v>0.41198675951590635</v>
      </c>
      <c r="AK39" s="69">
        <f>1/(1+disc_effects)^A39</f>
        <v>0.41198675951590635</v>
      </c>
      <c r="AL39" s="68">
        <f>AG39*AJ39</f>
        <v>3745959.834405507</v>
      </c>
      <c r="AM39" s="67">
        <f>AI39*AK39</f>
        <v>31010.248135228747</v>
      </c>
      <c r="AN39" s="67">
        <f>AH39*AK39</f>
        <v>34481.04184315015</v>
      </c>
      <c r="AO39" s="64" t="str">
        <f>IF(AND(ABS(V39+U39-cohort_size)&lt;0.000001*cohort_size,MIN(I39:Q39)&gt;=0,MAX(I39:Q39)&lt;=1),"OK","CHECK")</f>
        <v>OK</v>
      </c>
    </row>
    <row r="40">
      <c r="A40" s="63">
        <f>A39+1</f>
        <v>31.0</v>
      </c>
      <c r="B40" s="63">
        <f>start_age+A40</f>
        <v>71.0</v>
      </c>
      <c r="C40" s="64" t="str">
        <f>INDEX(age_band_label,MATCH(B40,age_band_start,1))</f>
        <v>70-74</v>
      </c>
      <c r="D40" s="65">
        <f>INDEX(p_background_death,MATCH(B40,age_band_start,1))</f>
        <v>0.021</v>
      </c>
      <c r="E40" s="65">
        <f>INDEX(p_cancer_onset,MATCH(B40,age_band_start,1))</f>
        <v>0.0018</v>
      </c>
      <c r="F40" s="63">
        <f>IF(AND($B$3="Yes",B40&gt;=$E$3,B40&lt;=$H$3),1,0)</f>
        <v>1.0</v>
      </c>
      <c r="G40" s="66">
        <f>F40*screen_participation</f>
        <v>0.6</v>
      </c>
      <c r="H40" s="65">
        <f>1-(1-p_detect_symptoms)*(1-G40*screen_sensitivity)</f>
        <v>0.47799999999999987</v>
      </c>
      <c r="I40" s="65">
        <f>1-J40-K40</f>
        <v>0.9772377999999999</v>
      </c>
      <c r="J40" s="65">
        <f>(1-D40)*E40</f>
        <v>0.0017622</v>
      </c>
      <c r="K40" s="65">
        <f>D40</f>
        <v>0.021</v>
      </c>
      <c r="L40" s="65">
        <f>(1-D40)*H40*p_cure_early</f>
        <v>0.4211657999999999</v>
      </c>
      <c r="M40" s="65">
        <f>(1-D40)*(1-H40)*(1-p_progression)</f>
        <v>0.3832785000000001</v>
      </c>
      <c r="N40" s="65">
        <f>(1-D40)*(H40*(1-p_cure_early)+(1-H40)*p_progression)</f>
        <v>0.1745557</v>
      </c>
      <c r="O40" s="65">
        <f>D40</f>
        <v>0.021</v>
      </c>
      <c r="P40" s="65">
        <f>1-Q40</f>
        <v>0.73425</v>
      </c>
      <c r="Q40" s="65">
        <f>1-(1-D40)*(1-p_death_advanced)</f>
        <v>0.26575000000000004</v>
      </c>
      <c r="R40" s="67">
        <f>R39*I39+S39*L39</f>
        <v>81550.26294058084</v>
      </c>
      <c r="S40" s="67">
        <f>R39*J39+S39*M39</f>
        <v>225.52433797422927</v>
      </c>
      <c r="T40" s="67">
        <f>S39*N39+T39*P39</f>
        <v>129.826678527377</v>
      </c>
      <c r="U40" s="67">
        <f>U39+R39*K39+S39*O39+T39*Q39</f>
        <v>18094.386042917613</v>
      </c>
      <c r="V40" s="67">
        <f>R40+S40+T40</f>
        <v>81905.61395708245</v>
      </c>
      <c r="W40" s="67">
        <f>R40*J40</f>
        <v>143.70787335389156</v>
      </c>
      <c r="X40" s="67">
        <f>S40*(1-D40)*H40</f>
        <v>105.53682024709624</v>
      </c>
      <c r="Y40" s="67">
        <f>S40*(1-D40)*(1-H40)*p_progression</f>
        <v>28.81287665741855</v>
      </c>
      <c r="Z40" s="67">
        <f>X40+Y40</f>
        <v>134.3496969045148</v>
      </c>
      <c r="AA40" s="67">
        <f>T40*(1-D40)*p_death_advanced</f>
        <v>31.77507956957552</v>
      </c>
      <c r="AB40" s="67">
        <f>(R40+S40)*G40</f>
        <v>49065.47236713304</v>
      </c>
      <c r="AC40" s="67">
        <f>G40*(R40*(1-screen_specificity)+S40*screen_sensitivity)</f>
        <v>3519.8312654535694</v>
      </c>
      <c r="AD40" s="68">
        <f>AB40*cost_screen_test+AC40*cost_followup_test</f>
        <v>4991795.436467561</v>
      </c>
      <c r="AE40" s="68">
        <f>X40*cost_early_treatment</f>
        <v>1583052.3037064436</v>
      </c>
      <c r="AF40" s="68">
        <f>T40*cost_advanced_year</f>
        <v>2596533.5705475397</v>
      </c>
      <c r="AG40" s="68">
        <f>AD40+AE40+AF40</f>
        <v>9171381.310721545</v>
      </c>
      <c r="AH40" s="67">
        <f>V40</f>
        <v>81905.61395708245</v>
      </c>
      <c r="AI40" s="67">
        <f>R40*u_healthy+S40*u_early+T40*u_advanced</f>
        <v>73658.33700699091</v>
      </c>
      <c r="AJ40" s="69">
        <f>1/(1+disc_costs)^A40</f>
        <v>0.3999871451610742</v>
      </c>
      <c r="AK40" s="69">
        <f>1/(1+disc_effects)^A40</f>
        <v>0.3999871451610742</v>
      </c>
      <c r="AL40" s="68">
        <f>AG40*AJ40</f>
        <v>3668434.6276591416</v>
      </c>
      <c r="AM40" s="67">
        <f>AI40*AK40</f>
        <v>29462.3879367386</v>
      </c>
      <c r="AN40" s="67">
        <f>AH40*AK40</f>
        <v>32761.192699358442</v>
      </c>
      <c r="AO40" s="64" t="str">
        <f>IF(AND(ABS(V40+U40-cohort_size)&lt;0.000001*cohort_size,MIN(I40:Q40)&gt;=0,MAX(I40:Q40)&lt;=1),"OK","CHECK")</f>
        <v>OK</v>
      </c>
    </row>
    <row r="41">
      <c r="A41" s="63">
        <f>A40+1</f>
        <v>32.0</v>
      </c>
      <c r="B41" s="63">
        <f>start_age+A41</f>
        <v>72.0</v>
      </c>
      <c r="C41" s="64" t="str">
        <f>INDEX(age_band_label,MATCH(B41,age_band_start,1))</f>
        <v>70-74</v>
      </c>
      <c r="D41" s="65">
        <f>INDEX(p_background_death,MATCH(B41,age_band_start,1))</f>
        <v>0.021</v>
      </c>
      <c r="E41" s="65">
        <f>INDEX(p_cancer_onset,MATCH(B41,age_band_start,1))</f>
        <v>0.0018</v>
      </c>
      <c r="F41" s="63">
        <f>IF(AND($B$3="Yes",B41&gt;=$E$3,B41&lt;=$H$3),1,0)</f>
        <v>1.0</v>
      </c>
      <c r="G41" s="66">
        <f>F41*screen_participation</f>
        <v>0.6</v>
      </c>
      <c r="H41" s="65">
        <f>1-(1-p_detect_symptoms)*(1-G41*screen_sensitivity)</f>
        <v>0.47799999999999987</v>
      </c>
      <c r="I41" s="65">
        <f>1-J41-K41</f>
        <v>0.9772377999999999</v>
      </c>
      <c r="J41" s="65">
        <f>(1-D41)*E41</f>
        <v>0.0017622</v>
      </c>
      <c r="K41" s="65">
        <f>D41</f>
        <v>0.021</v>
      </c>
      <c r="L41" s="65">
        <f>(1-D41)*H41*p_cure_early</f>
        <v>0.4211657999999999</v>
      </c>
      <c r="M41" s="65">
        <f>(1-D41)*(1-H41)*(1-p_progression)</f>
        <v>0.3832785000000001</v>
      </c>
      <c r="N41" s="65">
        <f>(1-D41)*(H41*(1-p_cure_early)+(1-H41)*p_progression)</f>
        <v>0.1745557</v>
      </c>
      <c r="O41" s="65">
        <f>D41</f>
        <v>0.021</v>
      </c>
      <c r="P41" s="65">
        <f>1-Q41</f>
        <v>0.73425</v>
      </c>
      <c r="Q41" s="65">
        <f>1-(1-D41)*(1-p_death_advanced)</f>
        <v>0.26575000000000004</v>
      </c>
      <c r="R41" s="67">
        <f>R40*I40+S40*L40</f>
        <v>79788.98268369713</v>
      </c>
      <c r="S41" s="67">
        <f>R40*J40+S40*M40</f>
        <v>230.1465033261472</v>
      </c>
      <c r="T41" s="67">
        <f>S40*N40+T40*P40</f>
        <v>134.69179739085473</v>
      </c>
      <c r="U41" s="67">
        <f>U40+R40*K40+S40*O40+T40*Q40</f>
        <v>19846.17901558592</v>
      </c>
      <c r="V41" s="67">
        <f>R41+S41+T41</f>
        <v>80153.82098441414</v>
      </c>
      <c r="W41" s="67">
        <f>R41*J41</f>
        <v>140.60414528521108</v>
      </c>
      <c r="X41" s="67">
        <f>S41*(1-D41)*H41</f>
        <v>107.69981798951048</v>
      </c>
      <c r="Y41" s="67">
        <f>S41*(1-D41)*(1-H41)*p_progression</f>
        <v>29.403402191696912</v>
      </c>
      <c r="Z41" s="67">
        <f>X41+Y41</f>
        <v>137.1032201812074</v>
      </c>
      <c r="AA41" s="67">
        <f>T41*(1-D41)*p_death_advanced</f>
        <v>32.96581741141169</v>
      </c>
      <c r="AB41" s="67">
        <f>(R41+S41)*G41</f>
        <v>48011.47751221397</v>
      </c>
      <c r="AC41" s="67">
        <f>G41*(R41*(1-screen_specificity)+S41*screen_sensitivity)</f>
        <v>3447.7988041122594</v>
      </c>
      <c r="AD41" s="68">
        <f>AB41*cost_screen_test+AC41*cost_followup_test</f>
        <v>4888143.129478678</v>
      </c>
      <c r="AE41" s="68">
        <f>X41*cost_early_treatment</f>
        <v>1615497.2698426573</v>
      </c>
      <c r="AF41" s="68">
        <f>T41*cost_advanced_year</f>
        <v>2693835.9478170946</v>
      </c>
      <c r="AG41" s="68">
        <f>AD41+AE41+AF41</f>
        <v>9197476.34713843</v>
      </c>
      <c r="AH41" s="67">
        <f>V41</f>
        <v>80153.82098441414</v>
      </c>
      <c r="AI41" s="67">
        <f>R41*u_healthy+S41*u_early+T41*u_advanced</f>
        <v>72079.78943171962</v>
      </c>
      <c r="AJ41" s="69">
        <f>1/(1+disc_costs)^A41</f>
        <v>0.3883370341369652</v>
      </c>
      <c r="AK41" s="69">
        <f>1/(1+disc_effects)^A41</f>
        <v>0.3883370341369652</v>
      </c>
      <c r="AL41" s="68">
        <f>AG41*AJ41</f>
        <v>3571720.6861926266</v>
      </c>
      <c r="AM41" s="67">
        <f>AI41*AK41</f>
        <v>27991.251649130965</v>
      </c>
      <c r="AN41" s="67">
        <f>AH41*AK41</f>
        <v>31126.69711583263</v>
      </c>
      <c r="AO41" s="64" t="str">
        <f>IF(AND(ABS(V41+U41-cohort_size)&lt;0.000001*cohort_size,MIN(I41:Q41)&gt;=0,MAX(I41:Q41)&lt;=1),"OK","CHECK")</f>
        <v>OK</v>
      </c>
    </row>
    <row r="42">
      <c r="A42" s="63">
        <f>A41+1</f>
        <v>33.0</v>
      </c>
      <c r="B42" s="63">
        <f>start_age+A42</f>
        <v>73.0</v>
      </c>
      <c r="C42" s="64" t="str">
        <f>INDEX(age_band_label,MATCH(B42,age_band_start,1))</f>
        <v>70-74</v>
      </c>
      <c r="D42" s="65">
        <f>INDEX(p_background_death,MATCH(B42,age_band_start,1))</f>
        <v>0.021</v>
      </c>
      <c r="E42" s="65">
        <f>INDEX(p_cancer_onset,MATCH(B42,age_band_start,1))</f>
        <v>0.0018</v>
      </c>
      <c r="F42" s="63">
        <f>IF(AND($B$3="Yes",B42&gt;=$E$3,B42&lt;=$H$3),1,0)</f>
        <v>1.0</v>
      </c>
      <c r="G42" s="66">
        <f>F42*screen_participation</f>
        <v>0.6</v>
      </c>
      <c r="H42" s="65">
        <f>1-(1-p_detect_symptoms)*(1-G42*screen_sensitivity)</f>
        <v>0.47799999999999987</v>
      </c>
      <c r="I42" s="65">
        <f>1-J42-K42</f>
        <v>0.9772377999999999</v>
      </c>
      <c r="J42" s="65">
        <f>(1-D42)*E42</f>
        <v>0.0017622</v>
      </c>
      <c r="K42" s="65">
        <f>D42</f>
        <v>0.021</v>
      </c>
      <c r="L42" s="65">
        <f>(1-D42)*H42*p_cure_early</f>
        <v>0.4211657999999999</v>
      </c>
      <c r="M42" s="65">
        <f>(1-D42)*(1-H42)*(1-p_progression)</f>
        <v>0.3832785000000001</v>
      </c>
      <c r="N42" s="65">
        <f>(1-D42)*(H42*(1-p_cure_early)+(1-H42)*p_progression)</f>
        <v>0.1745557</v>
      </c>
      <c r="O42" s="65">
        <f>D42</f>
        <v>0.021</v>
      </c>
      <c r="P42" s="65">
        <f>1-Q42</f>
        <v>0.73425</v>
      </c>
      <c r="Q42" s="65">
        <f>1-(1-D42)*(1-p_death_advanced)</f>
        <v>0.26575000000000004</v>
      </c>
      <c r="R42" s="67">
        <f>R41*I41+S41*L41</f>
        <v>78069.73973824483</v>
      </c>
      <c r="S42" s="67">
        <f>R41*J41+S41*M41</f>
        <v>228.81435186030183</v>
      </c>
      <c r="T42" s="67">
        <f>S41*N41+T41*P41</f>
        <v>139.07083622488304</v>
      </c>
      <c r="U42" s="67">
        <f>U41+R41*K41+S41*O41+T41*Q41</f>
        <v>21562.375073670028</v>
      </c>
      <c r="V42" s="67">
        <f>R42+S42+T42</f>
        <v>78437.62492633001</v>
      </c>
      <c r="W42" s="67">
        <f>R42*J42</f>
        <v>137.57449536673502</v>
      </c>
      <c r="X42" s="67">
        <f>S42*(1-D42)*H42</f>
        <v>107.07642172525053</v>
      </c>
      <c r="Y42" s="67">
        <f>S42*(1-D42)*(1-H42)*p_progression</f>
        <v>29.233207186496237</v>
      </c>
      <c r="Z42" s="67">
        <f>X42+Y42</f>
        <v>136.30962891174676</v>
      </c>
      <c r="AA42" s="67">
        <f>T42*(1-D42)*p_death_advanced</f>
        <v>34.037587166040126</v>
      </c>
      <c r="AB42" s="67">
        <f>(R42+S42)*G42</f>
        <v>46979.132454063074</v>
      </c>
      <c r="AC42" s="67">
        <f>G42*(R42*(1-screen_specificity)+S42*screen_sensitivity)</f>
        <v>3375.0310967876076</v>
      </c>
      <c r="AD42" s="68">
        <f>AB42*cost_screen_test+AC42*cost_followup_test</f>
        <v>4784405.0704095</v>
      </c>
      <c r="AE42" s="68">
        <f>X42*cost_early_treatment</f>
        <v>1606146.325878758</v>
      </c>
      <c r="AF42" s="68">
        <f>T42*cost_advanced_year</f>
        <v>2781416.724497661</v>
      </c>
      <c r="AG42" s="68">
        <f>AD42+AE42+AF42</f>
        <v>9171968.120785918</v>
      </c>
      <c r="AH42" s="67">
        <f>V42</f>
        <v>78437.62492633001</v>
      </c>
      <c r="AI42" s="67">
        <f>R42*u_healthy+S42*u_early+T42*u_advanced</f>
        <v>70533.7469234253</v>
      </c>
      <c r="AJ42" s="69">
        <f>1/(1+disc_costs)^A42</f>
        <v>0.37702624673491764</v>
      </c>
      <c r="AK42" s="69">
        <f>1/(1+disc_effects)^A42</f>
        <v>0.37702624673491764</v>
      </c>
      <c r="AL42" s="68">
        <f>AG42*AJ42</f>
        <v>3458072.7157522305</v>
      </c>
      <c r="AM42" s="67">
        <f>AI42*AK42</f>
        <v>26593.073870689583</v>
      </c>
      <c r="AN42" s="67">
        <f>AH42*AK42</f>
        <v>29573.043328775424</v>
      </c>
      <c r="AO42" s="64" t="str">
        <f>IF(AND(ABS(V42+U42-cohort_size)&lt;0.000001*cohort_size,MIN(I42:Q42)&gt;=0,MAX(I42:Q42)&lt;=1),"OK","CHECK")</f>
        <v>OK</v>
      </c>
    </row>
    <row r="43">
      <c r="A43" s="63">
        <f>A42+1</f>
        <v>34.0</v>
      </c>
      <c r="B43" s="63">
        <f>start_age+A43</f>
        <v>74.0</v>
      </c>
      <c r="C43" s="64" t="str">
        <f>INDEX(age_band_label,MATCH(B43,age_band_start,1))</f>
        <v>70-74</v>
      </c>
      <c r="D43" s="65">
        <f>INDEX(p_background_death,MATCH(B43,age_band_start,1))</f>
        <v>0.021</v>
      </c>
      <c r="E43" s="65">
        <f>INDEX(p_cancer_onset,MATCH(B43,age_band_start,1))</f>
        <v>0.0018</v>
      </c>
      <c r="F43" s="63">
        <f>IF(AND($B$3="Yes",B43&gt;=$E$3,B43&lt;=$H$3),1,0)</f>
        <v>1.0</v>
      </c>
      <c r="G43" s="66">
        <f>F43*screen_participation</f>
        <v>0.6</v>
      </c>
      <c r="H43" s="65">
        <f>1-(1-p_detect_symptoms)*(1-G43*screen_sensitivity)</f>
        <v>0.47799999999999987</v>
      </c>
      <c r="I43" s="65">
        <f>1-J43-K43</f>
        <v>0.9772377999999999</v>
      </c>
      <c r="J43" s="65">
        <f>(1-D43)*E43</f>
        <v>0.0017622</v>
      </c>
      <c r="K43" s="65">
        <f>D43</f>
        <v>0.021</v>
      </c>
      <c r="L43" s="65">
        <f>(1-D43)*H43*p_cure_early</f>
        <v>0.4211657999999999</v>
      </c>
      <c r="M43" s="65">
        <f>(1-D43)*(1-H43)*(1-p_progression)</f>
        <v>0.3832785000000001</v>
      </c>
      <c r="N43" s="65">
        <f>(1-D43)*(H43*(1-p_cure_early)+(1-H43)*p_progression)</f>
        <v>0.1745557</v>
      </c>
      <c r="O43" s="65">
        <f>D43</f>
        <v>0.021</v>
      </c>
      <c r="P43" s="65">
        <f>1-Q43</f>
        <v>0.73425</v>
      </c>
      <c r="Q43" s="65">
        <f>1-(1-D43)*(1-p_death_advanced)</f>
        <v>0.26575000000000004</v>
      </c>
      <c r="R43" s="67">
        <f>R42*I42+S42*L42</f>
        <v>76389.06948792767</v>
      </c>
      <c r="S43" s="67">
        <f>R42*J42+S42*M42</f>
        <v>225.2741169262237</v>
      </c>
      <c r="T43" s="67">
        <f>S42*N42+T42*P42</f>
        <v>142.05361085714165</v>
      </c>
      <c r="U43" s="67">
        <f>U42+R42*K42+S42*O42+T42*Q42</f>
        <v>23243.602784288996</v>
      </c>
      <c r="V43" s="67">
        <f>R43+S43+T43</f>
        <v>76756.39721571104</v>
      </c>
      <c r="W43" s="67">
        <f>R43*J43</f>
        <v>134.61281825162615</v>
      </c>
      <c r="X43" s="67">
        <f>S43*(1-D43)*H43</f>
        <v>105.41972630502947</v>
      </c>
      <c r="Y43" s="67">
        <f>S43*(1-D43)*(1-H43)*p_progression</f>
        <v>28.78090854143589</v>
      </c>
      <c r="Z43" s="67">
        <f>X43+Y43</f>
        <v>134.20063484646536</v>
      </c>
      <c r="AA43" s="67">
        <f>T43*(1-D43)*p_death_advanced</f>
        <v>34.76762125728542</v>
      </c>
      <c r="AB43" s="67">
        <f>(R43+S43)*G43</f>
        <v>45968.606162912336</v>
      </c>
      <c r="AC43" s="67">
        <f>G43*(R43*(1-screen_specificity)+S43*screen_sensitivity)</f>
        <v>3302.9560476019738</v>
      </c>
      <c r="AD43" s="68">
        <f>AB43*cost_screen_test+AC43*cost_followup_test</f>
        <v>4682014.232489344</v>
      </c>
      <c r="AE43" s="68">
        <f>X43*cost_early_treatment</f>
        <v>1581295.894575442</v>
      </c>
      <c r="AF43" s="68">
        <f>T43*cost_advanced_year</f>
        <v>2841072.217142833</v>
      </c>
      <c r="AG43" s="68">
        <f>AD43+AE43+AF43</f>
        <v>9104382.344207618</v>
      </c>
      <c r="AH43" s="67">
        <f>V43</f>
        <v>76756.39721571104</v>
      </c>
      <c r="AI43" s="67">
        <f>R43*u_healthy+S43*u_early+T43*u_advanced</f>
        <v>69019.77502449362</v>
      </c>
      <c r="AJ43" s="69">
        <f>1/(1+disc_costs)^A43</f>
        <v>0.3660448997426385</v>
      </c>
      <c r="AK43" s="69">
        <f>1/(1+disc_effects)^A43</f>
        <v>0.3660448997426385</v>
      </c>
      <c r="AL43" s="68">
        <f>AG43*AJ43</f>
        <v>3332612.7224041256</v>
      </c>
      <c r="AM43" s="67">
        <f>AI43*AK43</f>
        <v>25264.33662910023</v>
      </c>
      <c r="AN43" s="67">
        <f>AH43*AK43</f>
        <v>28096.287723431084</v>
      </c>
      <c r="AO43" s="64" t="str">
        <f>IF(AND(ABS(V43+U43-cohort_size)&lt;0.000001*cohort_size,MIN(I43:Q43)&gt;=0,MAX(I43:Q43)&lt;=1),"OK","CHECK")</f>
        <v>OK</v>
      </c>
    </row>
    <row r="44">
      <c r="A44" s="63">
        <f>A43+1</f>
        <v>35.0</v>
      </c>
      <c r="B44" s="63">
        <f>start_age+A44</f>
        <v>75.0</v>
      </c>
      <c r="C44" s="64" t="str">
        <f>INDEX(age_band_label,MATCH(B44,age_band_start,1))</f>
        <v>75-79</v>
      </c>
      <c r="D44" s="65">
        <f>INDEX(p_background_death,MATCH(B44,age_band_start,1))</f>
        <v>0.035</v>
      </c>
      <c r="E44" s="65">
        <f>INDEX(p_cancer_onset,MATCH(B44,age_band_start,1))</f>
        <v>0.0021</v>
      </c>
      <c r="F44" s="63">
        <f>IF(AND($B$3="Yes",B44&gt;=$E$3,B44&lt;=$H$3),1,0)</f>
        <v>0.0</v>
      </c>
      <c r="G44" s="66">
        <f>F44*screen_participation</f>
        <v>0.0</v>
      </c>
      <c r="H44" s="65">
        <f>1-(1-p_detect_symptoms)*(1-G44*screen_sensitivity)</f>
        <v>0.09999999999999998</v>
      </c>
      <c r="I44" s="65">
        <f>1-J44-K44</f>
        <v>0.9629734999999999</v>
      </c>
      <c r="J44" s="65">
        <f>(1-D44)*E44</f>
        <v>0.0020264999999999997</v>
      </c>
      <c r="K44" s="65">
        <f>D44</f>
        <v>0.035</v>
      </c>
      <c r="L44" s="65">
        <f>(1-D44)*H44*p_cure_early</f>
        <v>0.08684999999999998</v>
      </c>
      <c r="M44" s="65">
        <f>(1-D44)*(1-H44)*(1-p_progression)</f>
        <v>0.6513749999999999</v>
      </c>
      <c r="N44" s="65">
        <f>(1-D44)*(H44*(1-p_cure_early)+(1-H44)*p_progression)</f>
        <v>0.22677499999999998</v>
      </c>
      <c r="O44" s="65">
        <f>D44</f>
        <v>0.035</v>
      </c>
      <c r="P44" s="65">
        <f>1-Q44</f>
        <v>0.72375</v>
      </c>
      <c r="Q44" s="65">
        <f>1-(1-D44)*(1-p_death_advanced)</f>
        <v>0.27625</v>
      </c>
      <c r="R44" s="67">
        <f>R43*I43+S43*L43</f>
        <v>74745.1639641041</v>
      </c>
      <c r="S44" s="67">
        <f>R43*J43+S43*M43</f>
        <v>220.9555438759338</v>
      </c>
      <c r="T44" s="67">
        <f>S43*N43+T43*P43</f>
        <v>143.6257449437951</v>
      </c>
      <c r="U44" s="67">
        <f>U43+R43*K43+S43*O43+T43*Q43</f>
        <v>24890.254747076215</v>
      </c>
      <c r="V44" s="67">
        <f>R44+S44+T44</f>
        <v>75109.74525292382</v>
      </c>
      <c r="W44" s="67">
        <f>R44*J44</f>
        <v>151.47107477325693</v>
      </c>
      <c r="X44" s="67">
        <f>S44*(1-D44)*H44</f>
        <v>21.322209984027605</v>
      </c>
      <c r="Y44" s="67">
        <f>S44*(1-D44)*(1-H44)*p_progression</f>
        <v>47.97497246406213</v>
      </c>
      <c r="Z44" s="67">
        <f>X44+Y44</f>
        <v>69.29718244808973</v>
      </c>
      <c r="AA44" s="67">
        <f>T44*(1-D44)*p_death_advanced</f>
        <v>34.64971096769057</v>
      </c>
      <c r="AB44" s="67">
        <f>(R44+S44)*G44</f>
        <v>0.0</v>
      </c>
      <c r="AC44" s="67">
        <f>G44*(R44*(1-screen_specificity)+S44*screen_sensitivity)</f>
        <v>0.0</v>
      </c>
      <c r="AD44" s="68">
        <f>AB44*cost_screen_test+AC44*cost_followup_test</f>
        <v>0.0</v>
      </c>
      <c r="AE44" s="68">
        <f>X44*cost_early_treatment</f>
        <v>319833.1497604141</v>
      </c>
      <c r="AF44" s="68">
        <f>T44*cost_advanced_year</f>
        <v>2872514.898875902</v>
      </c>
      <c r="AG44" s="68">
        <f>AD44+AE44+AF44</f>
        <v>3192348.048636316</v>
      </c>
      <c r="AH44" s="67">
        <f>V44</f>
        <v>75109.74525292382</v>
      </c>
      <c r="AI44" s="67">
        <f>R44*u_healthy+S44*u_early+T44*u_advanced</f>
        <v>67537.45393970732</v>
      </c>
      <c r="AJ44" s="69">
        <f>1/(1+disc_costs)^A44</f>
        <v>0.35538339780838685</v>
      </c>
      <c r="AK44" s="69">
        <f>1/(1+disc_effects)^A44</f>
        <v>0.35538339780838685</v>
      </c>
      <c r="AL44" s="68">
        <f>AG44*AJ44</f>
        <v>1134507.4965113474</v>
      </c>
      <c r="AM44" s="67">
        <f>AI44*AK44</f>
        <v>24001.68986042061</v>
      </c>
      <c r="AN44" s="67">
        <f>AH44*AK44</f>
        <v>26692.756476506423</v>
      </c>
      <c r="AO44" s="64" t="str">
        <f>IF(AND(ABS(V44+U44-cohort_size)&lt;0.000001*cohort_size,MIN(I44:Q44)&gt;=0,MAX(I44:Q44)&lt;=1),"OK","CHECK")</f>
        <v>OK</v>
      </c>
    </row>
    <row r="45">
      <c r="A45" s="63">
        <f>A44+1</f>
        <v>36.0</v>
      </c>
      <c r="B45" s="63">
        <f>start_age+A45</f>
        <v>76.0</v>
      </c>
      <c r="C45" s="64" t="str">
        <f>INDEX(age_band_label,MATCH(B45,age_band_start,1))</f>
        <v>75-79</v>
      </c>
      <c r="D45" s="65">
        <f>INDEX(p_background_death,MATCH(B45,age_band_start,1))</f>
        <v>0.035</v>
      </c>
      <c r="E45" s="65">
        <f>INDEX(p_cancer_onset,MATCH(B45,age_band_start,1))</f>
        <v>0.0021</v>
      </c>
      <c r="F45" s="63">
        <f>IF(AND($B$3="Yes",B45&gt;=$E$3,B45&lt;=$H$3),1,0)</f>
        <v>0.0</v>
      </c>
      <c r="G45" s="66">
        <f>F45*screen_participation</f>
        <v>0.0</v>
      </c>
      <c r="H45" s="65">
        <f>1-(1-p_detect_symptoms)*(1-G45*screen_sensitivity)</f>
        <v>0.09999999999999998</v>
      </c>
      <c r="I45" s="65">
        <f>1-J45-K45</f>
        <v>0.9629734999999999</v>
      </c>
      <c r="J45" s="65">
        <f>(1-D45)*E45</f>
        <v>0.0020264999999999997</v>
      </c>
      <c r="K45" s="65">
        <f>D45</f>
        <v>0.035</v>
      </c>
      <c r="L45" s="65">
        <f>(1-D45)*H45*p_cure_early</f>
        <v>0.08684999999999998</v>
      </c>
      <c r="M45" s="65">
        <f>(1-D45)*(1-H45)*(1-p_progression)</f>
        <v>0.6513749999999999</v>
      </c>
      <c r="N45" s="65">
        <f>(1-D45)*(H45*(1-p_cure_early)+(1-H45)*p_progression)</f>
        <v>0.22677499999999998</v>
      </c>
      <c r="O45" s="65">
        <f>D45</f>
        <v>0.035</v>
      </c>
      <c r="P45" s="65">
        <f>1-Q45</f>
        <v>0.72375</v>
      </c>
      <c r="Q45" s="65">
        <f>1-(1-D45)*(1-p_death_advanced)</f>
        <v>0.27625</v>
      </c>
      <c r="R45" s="67">
        <f>R44*I44+S44*L44</f>
        <v>71996.80213957281</v>
      </c>
      <c r="S45" s="67">
        <f>R44*J44+S44*M44</f>
        <v>295.3959921654433</v>
      </c>
      <c r="T45" s="67">
        <f>S44*N44+T44*P44</f>
        <v>154.0563263655366</v>
      </c>
      <c r="U45" s="67">
        <f>U44+R44*K44+S44*O44+T44*Q44</f>
        <v>27553.745541896238</v>
      </c>
      <c r="V45" s="67">
        <f>R45+S45+T45</f>
        <v>72446.2544581038</v>
      </c>
      <c r="W45" s="67">
        <f>R45*J45</f>
        <v>145.90151953584427</v>
      </c>
      <c r="X45" s="67">
        <f>S45*(1-D45)*H45</f>
        <v>28.50571324396527</v>
      </c>
      <c r="Y45" s="67">
        <f>S45*(1-D45)*(1-H45)*p_progression</f>
        <v>64.13785479892188</v>
      </c>
      <c r="Z45" s="67">
        <f>X45+Y45</f>
        <v>92.64356804288715</v>
      </c>
      <c r="AA45" s="67">
        <f>T45*(1-D45)*p_death_advanced</f>
        <v>37.166088735685705</v>
      </c>
      <c r="AB45" s="67">
        <f>(R45+S45)*G45</f>
        <v>0.0</v>
      </c>
      <c r="AC45" s="67">
        <f>G45*(R45*(1-screen_specificity)+S45*screen_sensitivity)</f>
        <v>0.0</v>
      </c>
      <c r="AD45" s="68">
        <f>AB45*cost_screen_test+AC45*cost_followup_test</f>
        <v>0.0</v>
      </c>
      <c r="AE45" s="68">
        <f>X45*cost_early_treatment</f>
        <v>427585.6986594791</v>
      </c>
      <c r="AF45" s="68">
        <f>T45*cost_advanced_year</f>
        <v>3081126.527310732</v>
      </c>
      <c r="AG45" s="68">
        <f>AD45+AE45+AF45</f>
        <v>3508712.225970211</v>
      </c>
      <c r="AH45" s="67">
        <f>V45</f>
        <v>72446.2544581038</v>
      </c>
      <c r="AI45" s="67">
        <f>R45*u_healthy+S45*u_early+T45*u_advanced</f>
        <v>65132.9394984572</v>
      </c>
      <c r="AJ45" s="69">
        <f>1/(1+disc_costs)^A45</f>
        <v>0.34503242505668624</v>
      </c>
      <c r="AK45" s="69">
        <f>1/(1+disc_effects)^A45</f>
        <v>0.34503242505668624</v>
      </c>
      <c r="AL45" s="68">
        <f>AG45*AJ45</f>
        <v>1210619.4881525456</v>
      </c>
      <c r="AM45" s="67">
        <f>AI45*AK45</f>
        <v>22472.976066223113</v>
      </c>
      <c r="AN45" s="67">
        <f>AH45*AK45</f>
        <v>24996.30686195332</v>
      </c>
      <c r="AO45" s="64" t="str">
        <f>IF(AND(ABS(V45+U45-cohort_size)&lt;0.000001*cohort_size,MIN(I45:Q45)&gt;=0,MAX(I45:Q45)&lt;=1),"OK","CHECK")</f>
        <v>OK</v>
      </c>
    </row>
    <row r="46">
      <c r="A46" s="63">
        <f>A45+1</f>
        <v>37.0</v>
      </c>
      <c r="B46" s="63">
        <f>start_age+A46</f>
        <v>77.0</v>
      </c>
      <c r="C46" s="64" t="str">
        <f>INDEX(age_band_label,MATCH(B46,age_band_start,1))</f>
        <v>75-79</v>
      </c>
      <c r="D46" s="65">
        <f>INDEX(p_background_death,MATCH(B46,age_band_start,1))</f>
        <v>0.035</v>
      </c>
      <c r="E46" s="65">
        <f>INDEX(p_cancer_onset,MATCH(B46,age_band_start,1))</f>
        <v>0.0021</v>
      </c>
      <c r="F46" s="63">
        <f>IF(AND($B$3="Yes",B46&gt;=$E$3,B46&lt;=$H$3),1,0)</f>
        <v>0.0</v>
      </c>
      <c r="G46" s="66">
        <f>F46*screen_participation</f>
        <v>0.0</v>
      </c>
      <c r="H46" s="65">
        <f>1-(1-p_detect_symptoms)*(1-G46*screen_sensitivity)</f>
        <v>0.09999999999999998</v>
      </c>
      <c r="I46" s="65">
        <f>1-J46-K46</f>
        <v>0.9629734999999999</v>
      </c>
      <c r="J46" s="65">
        <f>(1-D46)*E46</f>
        <v>0.0020264999999999997</v>
      </c>
      <c r="K46" s="65">
        <f>D46</f>
        <v>0.035</v>
      </c>
      <c r="L46" s="65">
        <f>(1-D46)*H46*p_cure_early</f>
        <v>0.08684999999999998</v>
      </c>
      <c r="M46" s="65">
        <f>(1-D46)*(1-H46)*(1-p_progression)</f>
        <v>0.6513749999999999</v>
      </c>
      <c r="N46" s="65">
        <f>(1-D46)*(H46*(1-p_cure_early)+(1-H46)*p_progression)</f>
        <v>0.22677499999999998</v>
      </c>
      <c r="O46" s="65">
        <f>D46</f>
        <v>0.035</v>
      </c>
      <c r="P46" s="65">
        <f>1-Q46</f>
        <v>0.72375</v>
      </c>
      <c r="Q46" s="65">
        <f>1-(1-D46)*(1-p_death_advanced)</f>
        <v>0.27625</v>
      </c>
      <c r="R46" s="67">
        <f>R45*I45+S45*L45</f>
        <v>69356.66768707149</v>
      </c>
      <c r="S46" s="67">
        <f>R45*J45+S45*M45</f>
        <v>338.3150839326099</v>
      </c>
      <c r="T46" s="67">
        <f>S45*N45+T45*P45</f>
        <v>178.48669233037552</v>
      </c>
      <c r="U46" s="67">
        <f>U45+R45*K45+S45*O45+T45*Q45</f>
        <v>30126.53053666556</v>
      </c>
      <c r="V46" s="67">
        <f>R46+S46+T46</f>
        <v>69873.46946333448</v>
      </c>
      <c r="W46" s="67">
        <f>R46*J46</f>
        <v>140.55128706785035</v>
      </c>
      <c r="X46" s="67">
        <f>S46*(1-D46)*H46</f>
        <v>32.64740559949685</v>
      </c>
      <c r="Y46" s="67">
        <f>S46*(1-D46)*(1-H46)*p_progression</f>
        <v>73.45666259886794</v>
      </c>
      <c r="Z46" s="67">
        <f>X46+Y46</f>
        <v>106.10406819836479</v>
      </c>
      <c r="AA46" s="67">
        <f>T46*(1-D46)*p_death_advanced</f>
        <v>43.05991452470309</v>
      </c>
      <c r="AB46" s="67">
        <f>(R46+S46)*G46</f>
        <v>0.0</v>
      </c>
      <c r="AC46" s="67">
        <f>G46*(R46*(1-screen_specificity)+S46*screen_sensitivity)</f>
        <v>0.0</v>
      </c>
      <c r="AD46" s="68">
        <f>AB46*cost_screen_test+AC46*cost_followup_test</f>
        <v>0.0</v>
      </c>
      <c r="AE46" s="68">
        <f>X46*cost_early_treatment</f>
        <v>489711.08399245277</v>
      </c>
      <c r="AF46" s="68">
        <f>T46*cost_advanced_year</f>
        <v>3569733.8466075105</v>
      </c>
      <c r="AG46" s="68">
        <f>AD46+AE46+AF46</f>
        <v>4059444.9305999633</v>
      </c>
      <c r="AH46" s="67">
        <f>V46</f>
        <v>69873.46946333448</v>
      </c>
      <c r="AI46" s="67">
        <f>R46*u_healthy+S46*u_early+T46*u_advanced</f>
        <v>62806.73642048876</v>
      </c>
      <c r="AJ46" s="69">
        <f>1/(1+disc_costs)^A46</f>
        <v>0.3349829369482391</v>
      </c>
      <c r="AK46" s="69">
        <f>1/(1+disc_effects)^A46</f>
        <v>0.3349829369482391</v>
      </c>
      <c r="AL46" s="68">
        <f>AG46*AJ46</f>
        <v>1359844.7852320164</v>
      </c>
      <c r="AM46" s="67">
        <f>AI46*AK46</f>
        <v>21039.18502626926</v>
      </c>
      <c r="AN46" s="67">
        <f>AH46*AK46</f>
        <v>23406.420015590884</v>
      </c>
      <c r="AO46" s="64" t="str">
        <f>IF(AND(ABS(V46+U46-cohort_size)&lt;0.000001*cohort_size,MIN(I46:Q46)&gt;=0,MAX(I46:Q46)&lt;=1),"OK","CHECK")</f>
        <v>OK</v>
      </c>
    </row>
    <row r="47">
      <c r="A47" s="63">
        <f>A46+1</f>
        <v>38.0</v>
      </c>
      <c r="B47" s="63">
        <f>start_age+A47</f>
        <v>78.0</v>
      </c>
      <c r="C47" s="64" t="str">
        <f>INDEX(age_band_label,MATCH(B47,age_band_start,1))</f>
        <v>75-79</v>
      </c>
      <c r="D47" s="65">
        <f>INDEX(p_background_death,MATCH(B47,age_band_start,1))</f>
        <v>0.035</v>
      </c>
      <c r="E47" s="65">
        <f>INDEX(p_cancer_onset,MATCH(B47,age_band_start,1))</f>
        <v>0.0021</v>
      </c>
      <c r="F47" s="63">
        <f>IF(AND($B$3="Yes",B47&gt;=$E$3,B47&lt;=$H$3),1,0)</f>
        <v>0.0</v>
      </c>
      <c r="G47" s="66">
        <f>F47*screen_participation</f>
        <v>0.0</v>
      </c>
      <c r="H47" s="65">
        <f>1-(1-p_detect_symptoms)*(1-G47*screen_sensitivity)</f>
        <v>0.09999999999999998</v>
      </c>
      <c r="I47" s="65">
        <f>1-J47-K47</f>
        <v>0.9629734999999999</v>
      </c>
      <c r="J47" s="65">
        <f>(1-D47)*E47</f>
        <v>0.0020264999999999997</v>
      </c>
      <c r="K47" s="65">
        <f>D47</f>
        <v>0.035</v>
      </c>
      <c r="L47" s="65">
        <f>(1-D47)*H47*p_cure_early</f>
        <v>0.08684999999999998</v>
      </c>
      <c r="M47" s="65">
        <f>(1-D47)*(1-H47)*(1-p_progression)</f>
        <v>0.6513749999999999</v>
      </c>
      <c r="N47" s="65">
        <f>(1-D47)*(H47*(1-p_cure_early)+(1-H47)*p_progression)</f>
        <v>0.22677499999999998</v>
      </c>
      <c r="O47" s="65">
        <f>D47</f>
        <v>0.035</v>
      </c>
      <c r="P47" s="65">
        <f>1-Q47</f>
        <v>0.72375</v>
      </c>
      <c r="Q47" s="65">
        <f>1-(1-D47)*(1-p_death_advanced)</f>
        <v>0.27625</v>
      </c>
      <c r="R47" s="67">
        <f>R46*I46+S46*L46</f>
        <v>66818.01569599568</v>
      </c>
      <c r="S47" s="67">
        <f>R46*J46+S46*M46</f>
        <v>360.9212748644541</v>
      </c>
      <c r="T47" s="67">
        <f>S46*N46+T46*P46</f>
        <v>205.90114673292692</v>
      </c>
      <c r="U47" s="67">
        <f>U46+R46*K46+S46*O46+T46*Q46</f>
        <v>32615.16188240697</v>
      </c>
      <c r="V47" s="67">
        <f>R47+S47+T47</f>
        <v>67384.83811759306</v>
      </c>
      <c r="W47" s="67">
        <f>R47*J47</f>
        <v>135.40670880793522</v>
      </c>
      <c r="X47" s="67">
        <f>S47*(1-D47)*H47</f>
        <v>34.828903024419816</v>
      </c>
      <c r="Y47" s="67">
        <f>S47*(1-D47)*(1-H47)*p_progression</f>
        <v>78.3650318049446</v>
      </c>
      <c r="Z47" s="67">
        <f>X47+Y47</f>
        <v>113.19393482936442</v>
      </c>
      <c r="AA47" s="67">
        <f>T47*(1-D47)*p_death_advanced</f>
        <v>49.673651649318614</v>
      </c>
      <c r="AB47" s="67">
        <f>(R47+S47)*G47</f>
        <v>0.0</v>
      </c>
      <c r="AC47" s="67">
        <f>G47*(R47*(1-screen_specificity)+S47*screen_sensitivity)</f>
        <v>0.0</v>
      </c>
      <c r="AD47" s="68">
        <f>AB47*cost_screen_test+AC47*cost_followup_test</f>
        <v>0.0</v>
      </c>
      <c r="AE47" s="68">
        <f>X47*cost_early_treatment</f>
        <v>522433.54536629724</v>
      </c>
      <c r="AF47" s="68">
        <f>T47*cost_advanced_year</f>
        <v>4118022.9346585386</v>
      </c>
      <c r="AG47" s="68">
        <f>AD47+AE47+AF47</f>
        <v>4640456.480024836</v>
      </c>
      <c r="AH47" s="67">
        <f>V47</f>
        <v>67384.83811759306</v>
      </c>
      <c r="AI47" s="67">
        <f>R47*u_healthy+S47*u_early+T47*u_advanced</f>
        <v>60556.24284073401</v>
      </c>
      <c r="AJ47" s="69">
        <f>1/(1+disc_costs)^A47</f>
        <v>0.3252261523769311</v>
      </c>
      <c r="AK47" s="69">
        <f>1/(1+disc_effects)^A47</f>
        <v>0.3252261523769311</v>
      </c>
      <c r="AL47" s="68">
        <f>AG47*AJ47</f>
        <v>1509197.8062710746</v>
      </c>
      <c r="AM47" s="67">
        <f>AI47*AK47</f>
        <v>19694.473861495004</v>
      </c>
      <c r="AN47" s="67">
        <f>AH47*AK47</f>
        <v>21915.311629527154</v>
      </c>
      <c r="AO47" s="64" t="str">
        <f>IF(AND(ABS(V47+U47-cohort_size)&lt;0.000001*cohort_size,MIN(I47:Q47)&gt;=0,MAX(I47:Q47)&lt;=1),"OK","CHECK")</f>
        <v>OK</v>
      </c>
    </row>
    <row r="48">
      <c r="A48" s="63">
        <f>A47+1</f>
        <v>39.0</v>
      </c>
      <c r="B48" s="63">
        <f>start_age+A48</f>
        <v>79.0</v>
      </c>
      <c r="C48" s="64" t="str">
        <f>INDEX(age_band_label,MATCH(B48,age_band_start,1))</f>
        <v>75-79</v>
      </c>
      <c r="D48" s="65">
        <f>INDEX(p_background_death,MATCH(B48,age_band_start,1))</f>
        <v>0.035</v>
      </c>
      <c r="E48" s="65">
        <f>INDEX(p_cancer_onset,MATCH(B48,age_band_start,1))</f>
        <v>0.0021</v>
      </c>
      <c r="F48" s="63">
        <f>IF(AND($B$3="Yes",B48&gt;=$E$3,B48&lt;=$H$3),1,0)</f>
        <v>0.0</v>
      </c>
      <c r="G48" s="66">
        <f>F48*screen_participation</f>
        <v>0.0</v>
      </c>
      <c r="H48" s="65">
        <f>1-(1-p_detect_symptoms)*(1-G48*screen_sensitivity)</f>
        <v>0.09999999999999998</v>
      </c>
      <c r="I48" s="65">
        <f>1-J48-K48</f>
        <v>0.9629734999999999</v>
      </c>
      <c r="J48" s="65">
        <f>(1-D48)*E48</f>
        <v>0.0020264999999999997</v>
      </c>
      <c r="K48" s="65">
        <f>D48</f>
        <v>0.035</v>
      </c>
      <c r="L48" s="65">
        <f>(1-D48)*H48*p_cure_early</f>
        <v>0.08684999999999998</v>
      </c>
      <c r="M48" s="65">
        <f>(1-D48)*(1-H48)*(1-p_progression)</f>
        <v>0.6513749999999999</v>
      </c>
      <c r="N48" s="65">
        <f>(1-D48)*(H48*(1-p_cure_early)+(1-H48)*p_progression)</f>
        <v>0.22677499999999998</v>
      </c>
      <c r="O48" s="65">
        <f>D48</f>
        <v>0.035</v>
      </c>
      <c r="P48" s="65">
        <f>1-Q48</f>
        <v>0.72375</v>
      </c>
      <c r="Q48" s="65">
        <f>1-(1-D48)*(1-p_death_advanced)</f>
        <v>0.27625</v>
      </c>
      <c r="R48" s="67">
        <f>R47*I47+S47*L47</f>
        <v>64375.32445054987</v>
      </c>
      <c r="S48" s="67">
        <f>R47*J47+S47*M47</f>
        <v>370.501804222769</v>
      </c>
      <c r="T48" s="67">
        <f>S47*N47+T47*P47</f>
        <v>230.86887705534244</v>
      </c>
      <c r="U48" s="67">
        <f>U47+R47*K47+S47*O47+T47*Q47</f>
        <v>35023.30486817205</v>
      </c>
      <c r="V48" s="67">
        <f>R48+S48+T48</f>
        <v>64976.69513182798</v>
      </c>
      <c r="W48" s="67">
        <f>R48*J48</f>
        <v>130.45659499903928</v>
      </c>
      <c r="X48" s="67">
        <f>S48*(1-D48)*H48</f>
        <v>35.7534241074972</v>
      </c>
      <c r="Y48" s="67">
        <f>S48*(1-D48)*(1-H48)*p_progression</f>
        <v>80.44520424186872</v>
      </c>
      <c r="Z48" s="67">
        <f>X48+Y48</f>
        <v>116.19862834936592</v>
      </c>
      <c r="AA48" s="67">
        <f>T48*(1-D48)*p_death_advanced</f>
        <v>55.697116589601364</v>
      </c>
      <c r="AB48" s="67">
        <f>(R48+S48)*G48</f>
        <v>0.0</v>
      </c>
      <c r="AC48" s="67">
        <f>G48*(R48*(1-screen_specificity)+S48*screen_sensitivity)</f>
        <v>0.0</v>
      </c>
      <c r="AD48" s="68">
        <f>AB48*cost_screen_test+AC48*cost_followup_test</f>
        <v>0.0</v>
      </c>
      <c r="AE48" s="68">
        <f>X48*cost_early_treatment</f>
        <v>536301.361612458</v>
      </c>
      <c r="AF48" s="68">
        <f>T48*cost_advanced_year</f>
        <v>4617377.541106849</v>
      </c>
      <c r="AG48" s="68">
        <f>AD48+AE48+AF48</f>
        <v>5153678.902719307</v>
      </c>
      <c r="AH48" s="67">
        <f>V48</f>
        <v>64976.69513182798</v>
      </c>
      <c r="AI48" s="67">
        <f>R48*u_healthy+S48*u_early+T48*u_advanced</f>
        <v>58379.69642146467</v>
      </c>
      <c r="AJ48" s="69">
        <f>1/(1+disc_costs)^A48</f>
        <v>0.3157535459970205</v>
      </c>
      <c r="AK48" s="69">
        <f>1/(1+disc_effects)^A48</f>
        <v>0.3157535459970205</v>
      </c>
      <c r="AL48" s="68">
        <f>AG48*AJ48</f>
        <v>1627292.3884636548</v>
      </c>
      <c r="AM48" s="67">
        <f>AI48*AK48</f>
        <v>18433.59615930704</v>
      </c>
      <c r="AN48" s="67">
        <f>AH48*AK48</f>
        <v>20516.621895042023</v>
      </c>
      <c r="AO48" s="64" t="str">
        <f>IF(AND(ABS(V48+U48-cohort_size)&lt;0.000001*cohort_size,MIN(I48:Q48)&gt;=0,MAX(I48:Q48)&lt;=1),"OK","CHECK")</f>
        <v>OK</v>
      </c>
    </row>
    <row r="49">
      <c r="A49" s="63">
        <f>A48+1</f>
        <v>40.0</v>
      </c>
      <c r="B49" s="63">
        <f>start_age+A49</f>
        <v>80.0</v>
      </c>
      <c r="C49" s="64" t="str">
        <f>INDEX(age_band_label,MATCH(B49,age_band_start,1))</f>
        <v>80-84</v>
      </c>
      <c r="D49" s="65">
        <f>INDEX(p_background_death,MATCH(B49,age_band_start,1))</f>
        <v>0.06</v>
      </c>
      <c r="E49" s="65">
        <f>INDEX(p_cancer_onset,MATCH(B49,age_band_start,1))</f>
        <v>0.0024</v>
      </c>
      <c r="F49" s="63">
        <f>IF(AND($B$3="Yes",B49&gt;=$E$3,B49&lt;=$H$3),1,0)</f>
        <v>0.0</v>
      </c>
      <c r="G49" s="66">
        <f>F49*screen_participation</f>
        <v>0.0</v>
      </c>
      <c r="H49" s="65">
        <f>1-(1-p_detect_symptoms)*(1-G49*screen_sensitivity)</f>
        <v>0.09999999999999998</v>
      </c>
      <c r="I49" s="65">
        <f>1-J49-K49</f>
        <v>0.9377439999999999</v>
      </c>
      <c r="J49" s="65">
        <f>(1-D49)*E49</f>
        <v>0.0022559999999999998</v>
      </c>
      <c r="K49" s="65">
        <f>D49</f>
        <v>0.06</v>
      </c>
      <c r="L49" s="65">
        <f>(1-D49)*H49*p_cure_early</f>
        <v>0.08459999999999998</v>
      </c>
      <c r="M49" s="65">
        <f>(1-D49)*(1-H49)*(1-p_progression)</f>
        <v>0.6345</v>
      </c>
      <c r="N49" s="65">
        <f>(1-D49)*(H49*(1-p_cure_early)+(1-H49)*p_progression)</f>
        <v>0.22089999999999999</v>
      </c>
      <c r="O49" s="65">
        <f>D49</f>
        <v>0.06</v>
      </c>
      <c r="P49" s="65">
        <f>1-Q49</f>
        <v>0.705</v>
      </c>
      <c r="Q49" s="65">
        <f>1-(1-D49)*(1-p_death_advanced)</f>
        <v>0.29500000000000004</v>
      </c>
      <c r="R49" s="67">
        <f>R48*I48+S48*L48</f>
        <v>62023.90958147833</v>
      </c>
      <c r="S49" s="67">
        <f>R48*J48+S48*M48</f>
        <v>371.79220772464544</v>
      </c>
      <c r="T49" s="67">
        <f>S48*N48+T48*P48</f>
        <v>251.11189642142253</v>
      </c>
      <c r="U49" s="67">
        <f>U48+R48*K48+S48*O48+T48*Q48</f>
        <v>37353.18631437563</v>
      </c>
      <c r="V49" s="67">
        <f>R49+S49+T49</f>
        <v>62646.8136856244</v>
      </c>
      <c r="W49" s="67">
        <f>R49*J49</f>
        <v>139.9259400158151</v>
      </c>
      <c r="X49" s="67">
        <f>S49*(1-D49)*H49</f>
        <v>34.94846752611666</v>
      </c>
      <c r="Y49" s="67">
        <f>S49*(1-D49)*(1-H49)*p_progression</f>
        <v>78.6340519337625</v>
      </c>
      <c r="Z49" s="67">
        <f>X49+Y49</f>
        <v>113.58251945987917</v>
      </c>
      <c r="AA49" s="67">
        <f>T49*(1-D49)*p_death_advanced</f>
        <v>59.01129565903429</v>
      </c>
      <c r="AB49" s="67">
        <f>(R49+S49)*G49</f>
        <v>0.0</v>
      </c>
      <c r="AC49" s="67">
        <f>G49*(R49*(1-screen_specificity)+S49*screen_sensitivity)</f>
        <v>0.0</v>
      </c>
      <c r="AD49" s="68">
        <f>AB49*cost_screen_test+AC49*cost_followup_test</f>
        <v>0.0</v>
      </c>
      <c r="AE49" s="68">
        <f>X49*cost_early_treatment</f>
        <v>524227.01289174985</v>
      </c>
      <c r="AF49" s="68">
        <f>T49*cost_advanced_year</f>
        <v>5022237.928428451</v>
      </c>
      <c r="AG49" s="68">
        <f>AD49+AE49+AF49</f>
        <v>5546464.9413202</v>
      </c>
      <c r="AH49" s="67">
        <f>V49</f>
        <v>62646.8136856244</v>
      </c>
      <c r="AI49" s="67">
        <f>R49*u_healthy+S49*u_early+T49*u_advanced</f>
        <v>56275.65354292823</v>
      </c>
      <c r="AJ49" s="69">
        <f>1/(1+disc_costs)^A49</f>
        <v>0.3065568407738063</v>
      </c>
      <c r="AK49" s="69">
        <f>1/(1+disc_effects)^A49</f>
        <v>0.3065568407738063</v>
      </c>
      <c r="AL49" s="68">
        <f>AG49*AJ49</f>
        <v>1700306.7698737956</v>
      </c>
      <c r="AM49" s="67">
        <f>AI49*AK49</f>
        <v>17251.68656260134</v>
      </c>
      <c r="AN49" s="67">
        <f>AH49*AK49</f>
        <v>19204.80928801027</v>
      </c>
      <c r="AO49" s="64" t="str">
        <f>IF(AND(ABS(V49+U49-cohort_size)&lt;0.000001*cohort_size,MIN(I49:Q49)&gt;=0,MAX(I49:Q49)&lt;=1),"OK","CHECK")</f>
        <v>OK</v>
      </c>
    </row>
    <row r="50">
      <c r="A50" s="63">
        <f>A49+1</f>
        <v>41.0</v>
      </c>
      <c r="B50" s="63">
        <f>start_age+A50</f>
        <v>81.0</v>
      </c>
      <c r="C50" s="64" t="str">
        <f>INDEX(age_band_label,MATCH(B50,age_band_start,1))</f>
        <v>80-84</v>
      </c>
      <c r="D50" s="65">
        <f>INDEX(p_background_death,MATCH(B50,age_band_start,1))</f>
        <v>0.06</v>
      </c>
      <c r="E50" s="65">
        <f>INDEX(p_cancer_onset,MATCH(B50,age_band_start,1))</f>
        <v>0.0024</v>
      </c>
      <c r="F50" s="63">
        <f>IF(AND($B$3="Yes",B50&gt;=$E$3,B50&lt;=$H$3),1,0)</f>
        <v>0.0</v>
      </c>
      <c r="G50" s="66">
        <f>F50*screen_participation</f>
        <v>0.0</v>
      </c>
      <c r="H50" s="65">
        <f>1-(1-p_detect_symptoms)*(1-G50*screen_sensitivity)</f>
        <v>0.09999999999999998</v>
      </c>
      <c r="I50" s="65">
        <f>1-J50-K50</f>
        <v>0.9377439999999999</v>
      </c>
      <c r="J50" s="65">
        <f>(1-D50)*E50</f>
        <v>0.0022559999999999998</v>
      </c>
      <c r="K50" s="65">
        <f>D50</f>
        <v>0.06</v>
      </c>
      <c r="L50" s="65">
        <f>(1-D50)*H50*p_cure_early</f>
        <v>0.08459999999999998</v>
      </c>
      <c r="M50" s="65">
        <f>(1-D50)*(1-H50)*(1-p_progression)</f>
        <v>0.6345</v>
      </c>
      <c r="N50" s="65">
        <f>(1-D50)*(H50*(1-p_cure_early)+(1-H50)*p_progression)</f>
        <v>0.22089999999999999</v>
      </c>
      <c r="O50" s="65">
        <f>D50</f>
        <v>0.06</v>
      </c>
      <c r="P50" s="65">
        <f>1-Q50</f>
        <v>0.705</v>
      </c>
      <c r="Q50" s="65">
        <f>1-(1-D50)*(1-p_death_advanced)</f>
        <v>0.29500000000000004</v>
      </c>
      <c r="R50" s="67">
        <f>R49*I49+S49*L49</f>
        <v>58194.00268734732</v>
      </c>
      <c r="S50" s="67">
        <f>R49*J49+S49*M49</f>
        <v>375.8280958171026</v>
      </c>
      <c r="T50" s="67">
        <f>S49*N49+T49*P49</f>
        <v>259.16278566347705</v>
      </c>
      <c r="U50" s="67">
        <f>U49+R49*K49+S49*O49+T49*Q49</f>
        <v>41171.00643117212</v>
      </c>
      <c r="V50" s="67">
        <f>R50+S50+T50</f>
        <v>58828.9935688279</v>
      </c>
      <c r="W50" s="67">
        <f>R50*J50</f>
        <v>131.28567006265553</v>
      </c>
      <c r="X50" s="67">
        <f>S50*(1-D50)*H50</f>
        <v>35.32784100680763</v>
      </c>
      <c r="Y50" s="67">
        <f>S50*(1-D50)*(1-H50)*p_progression</f>
        <v>79.48764226531719</v>
      </c>
      <c r="Z50" s="67">
        <f>X50+Y50</f>
        <v>114.81548327212482</v>
      </c>
      <c r="AA50" s="67">
        <f>T50*(1-D50)*p_death_advanced</f>
        <v>60.903254630917104</v>
      </c>
      <c r="AB50" s="67">
        <f>(R50+S50)*G50</f>
        <v>0.0</v>
      </c>
      <c r="AC50" s="67">
        <f>G50*(R50*(1-screen_specificity)+S50*screen_sensitivity)</f>
        <v>0.0</v>
      </c>
      <c r="AD50" s="68">
        <f>AB50*cost_screen_test+AC50*cost_followup_test</f>
        <v>0.0</v>
      </c>
      <c r="AE50" s="68">
        <f>X50*cost_early_treatment</f>
        <v>529917.6151021145</v>
      </c>
      <c r="AF50" s="68">
        <f>T50*cost_advanced_year</f>
        <v>5183255.713269541</v>
      </c>
      <c r="AG50" s="68">
        <f>AD50+AE50+AF50</f>
        <v>5713173.328371655</v>
      </c>
      <c r="AH50" s="67">
        <f>V50</f>
        <v>58828.9935688279</v>
      </c>
      <c r="AI50" s="67">
        <f>R50*u_healthy+S50*u_early+T50*u_advanced</f>
        <v>52836.59583217204</v>
      </c>
      <c r="AJ50" s="69">
        <f>1/(1+disc_costs)^A50</f>
        <v>0.2976280007512683</v>
      </c>
      <c r="AK50" s="69">
        <f>1/(1+disc_effects)^A50</f>
        <v>0.2976280007512683</v>
      </c>
      <c r="AL50" s="68">
        <f>AG50*AJ50</f>
        <v>1700400.3556687247</v>
      </c>
      <c r="AM50" s="67">
        <f>AI50*AK50</f>
        <v>15725.650384032158</v>
      </c>
      <c r="AN50" s="67">
        <f>AH50*AK50</f>
        <v>17509.155742099465</v>
      </c>
      <c r="AO50" s="64" t="str">
        <f>IF(AND(ABS(V50+U50-cohort_size)&lt;0.000001*cohort_size,MIN(I50:Q50)&gt;=0,MAX(I50:Q50)&lt;=1),"OK","CHECK")</f>
        <v>OK</v>
      </c>
    </row>
    <row r="51">
      <c r="A51" s="63">
        <f>A50+1</f>
        <v>42.0</v>
      </c>
      <c r="B51" s="63">
        <f>start_age+A51</f>
        <v>82.0</v>
      </c>
      <c r="C51" s="64" t="str">
        <f>INDEX(age_band_label,MATCH(B51,age_band_start,1))</f>
        <v>80-84</v>
      </c>
      <c r="D51" s="65">
        <f>INDEX(p_background_death,MATCH(B51,age_band_start,1))</f>
        <v>0.06</v>
      </c>
      <c r="E51" s="65">
        <f>INDEX(p_cancer_onset,MATCH(B51,age_band_start,1))</f>
        <v>0.0024</v>
      </c>
      <c r="F51" s="63">
        <f>IF(AND($B$3="Yes",B51&gt;=$E$3,B51&lt;=$H$3),1,0)</f>
        <v>0.0</v>
      </c>
      <c r="G51" s="66">
        <f>F51*screen_participation</f>
        <v>0.0</v>
      </c>
      <c r="H51" s="65">
        <f>1-(1-p_detect_symptoms)*(1-G51*screen_sensitivity)</f>
        <v>0.09999999999999998</v>
      </c>
      <c r="I51" s="65">
        <f>1-J51-K51</f>
        <v>0.9377439999999999</v>
      </c>
      <c r="J51" s="65">
        <f>(1-D51)*E51</f>
        <v>0.0022559999999999998</v>
      </c>
      <c r="K51" s="65">
        <f>D51</f>
        <v>0.06</v>
      </c>
      <c r="L51" s="65">
        <f>(1-D51)*H51*p_cure_early</f>
        <v>0.08459999999999998</v>
      </c>
      <c r="M51" s="65">
        <f>(1-D51)*(1-H51)*(1-p_progression)</f>
        <v>0.6345</v>
      </c>
      <c r="N51" s="65">
        <f>(1-D51)*(H51*(1-p_cure_early)+(1-H51)*p_progression)</f>
        <v>0.22089999999999999</v>
      </c>
      <c r="O51" s="65">
        <f>D51</f>
        <v>0.06</v>
      </c>
      <c r="P51" s="65">
        <f>1-Q51</f>
        <v>0.705</v>
      </c>
      <c r="Q51" s="65">
        <f>1-(1-D51)*(1-p_death_advanced)</f>
        <v>0.29500000000000004</v>
      </c>
      <c r="R51" s="67">
        <f>R50*I50+S50*L50</f>
        <v>54602.871912949944</v>
      </c>
      <c r="S51" s="67">
        <f>R50*J50+S50*M50</f>
        <v>369.74859685860713</v>
      </c>
      <c r="T51" s="67">
        <f>S50*N50+T50*P50</f>
        <v>265.7301902587493</v>
      </c>
      <c r="U51" s="67">
        <f>U50+R50*K50+S50*O50+T50*Q50</f>
        <v>44761.64929993272</v>
      </c>
      <c r="V51" s="67">
        <f>R51+S51+T51</f>
        <v>55238.3507000673</v>
      </c>
      <c r="W51" s="67">
        <f>R51*J51</f>
        <v>123.18407903561506</v>
      </c>
      <c r="X51" s="67">
        <f>S51*(1-D51)*H51</f>
        <v>34.75636810470906</v>
      </c>
      <c r="Y51" s="67">
        <f>S51*(1-D51)*(1-H51)*p_progression</f>
        <v>78.2018282355954</v>
      </c>
      <c r="Z51" s="67">
        <f>X51+Y51</f>
        <v>112.95819634030445</v>
      </c>
      <c r="AA51" s="67">
        <f>T51*(1-D51)*p_death_advanced</f>
        <v>62.44659471080608</v>
      </c>
      <c r="AB51" s="67">
        <f>(R51+S51)*G51</f>
        <v>0.0</v>
      </c>
      <c r="AC51" s="67">
        <f>G51*(R51*(1-screen_specificity)+S51*screen_sensitivity)</f>
        <v>0.0</v>
      </c>
      <c r="AD51" s="68">
        <f>AB51*cost_screen_test+AC51*cost_followup_test</f>
        <v>0.0</v>
      </c>
      <c r="AE51" s="68">
        <f>X51*cost_early_treatment</f>
        <v>521345.5215706359</v>
      </c>
      <c r="AF51" s="68">
        <f>T51*cost_advanced_year</f>
        <v>5314603.805174986</v>
      </c>
      <c r="AG51" s="68">
        <f>AD51+AE51+AF51</f>
        <v>5835949.326745622</v>
      </c>
      <c r="AH51" s="67">
        <f>V51</f>
        <v>55238.3507000673</v>
      </c>
      <c r="AI51" s="67">
        <f>R51*u_healthy+S51*u_early+T51*u_advanced</f>
        <v>49603.02263362708</v>
      </c>
      <c r="AJ51" s="69">
        <f>1/(1+disc_costs)^A51</f>
        <v>0.2889592240303575</v>
      </c>
      <c r="AK51" s="69">
        <f>1/(1+disc_effects)^A51</f>
        <v>0.2889592240303575</v>
      </c>
      <c r="AL51" s="68">
        <f>AG51*AJ51</f>
        <v>1686351.3889369022</v>
      </c>
      <c r="AM51" s="67">
        <f>AI51*AK51</f>
        <v>14333.250929773141</v>
      </c>
      <c r="AN51" s="67">
        <f>AH51*AK51</f>
        <v>15961.630955008202</v>
      </c>
      <c r="AO51" s="64" t="str">
        <f>IF(AND(ABS(V51+U51-cohort_size)&lt;0.000001*cohort_size,MIN(I51:Q51)&gt;=0,MAX(I51:Q51)&lt;=1),"OK","CHECK")</f>
        <v>OK</v>
      </c>
    </row>
    <row r="52">
      <c r="A52" s="63">
        <f>A51+1</f>
        <v>43.0</v>
      </c>
      <c r="B52" s="63">
        <f>start_age+A52</f>
        <v>83.0</v>
      </c>
      <c r="C52" s="64" t="str">
        <f>INDEX(age_band_label,MATCH(B52,age_band_start,1))</f>
        <v>80-84</v>
      </c>
      <c r="D52" s="65">
        <f>INDEX(p_background_death,MATCH(B52,age_band_start,1))</f>
        <v>0.06</v>
      </c>
      <c r="E52" s="65">
        <f>INDEX(p_cancer_onset,MATCH(B52,age_band_start,1))</f>
        <v>0.0024</v>
      </c>
      <c r="F52" s="63">
        <f>IF(AND($B$3="Yes",B52&gt;=$E$3,B52&lt;=$H$3),1,0)</f>
        <v>0.0</v>
      </c>
      <c r="G52" s="66">
        <f>F52*screen_participation</f>
        <v>0.0</v>
      </c>
      <c r="H52" s="65">
        <f>1-(1-p_detect_symptoms)*(1-G52*screen_sensitivity)</f>
        <v>0.09999999999999998</v>
      </c>
      <c r="I52" s="65">
        <f>1-J52-K52</f>
        <v>0.9377439999999999</v>
      </c>
      <c r="J52" s="65">
        <f>(1-D52)*E52</f>
        <v>0.0022559999999999998</v>
      </c>
      <c r="K52" s="65">
        <f>D52</f>
        <v>0.06</v>
      </c>
      <c r="L52" s="65">
        <f>(1-D52)*H52*p_cure_early</f>
        <v>0.08459999999999998</v>
      </c>
      <c r="M52" s="65">
        <f>(1-D52)*(1-H52)*(1-p_progression)</f>
        <v>0.6345</v>
      </c>
      <c r="N52" s="65">
        <f>(1-D52)*(H52*(1-p_cure_early)+(1-H52)*p_progression)</f>
        <v>0.22089999999999999</v>
      </c>
      <c r="O52" s="65">
        <f>D52</f>
        <v>0.06</v>
      </c>
      <c r="P52" s="65">
        <f>1-Q52</f>
        <v>0.705</v>
      </c>
      <c r="Q52" s="65">
        <f>1-(1-D52)*(1-p_death_advanced)</f>
        <v>0.29500000000000004</v>
      </c>
      <c r="R52" s="67">
        <f>R51*I51+S51*L51</f>
        <v>51234.796250431566</v>
      </c>
      <c r="S52" s="67">
        <f>R51*J51+S51*M51</f>
        <v>357.78956374240124</v>
      </c>
      <c r="T52" s="67">
        <f>S51*N51+T51*P51</f>
        <v>269.0172491784846</v>
      </c>
      <c r="U52" s="67">
        <f>U51+R51*K51+S51*O51+T51*Q51</f>
        <v>48138.39693664756</v>
      </c>
      <c r="V52" s="67">
        <f>R52+S52+T52</f>
        <v>51861.60306335245</v>
      </c>
      <c r="W52" s="67">
        <f>R52*J52</f>
        <v>115.5857003409736</v>
      </c>
      <c r="X52" s="67">
        <f>S52*(1-D52)*H52</f>
        <v>33.632218991785706</v>
      </c>
      <c r="Y52" s="67">
        <f>S52*(1-D52)*(1-H52)*p_progression</f>
        <v>75.67249273151786</v>
      </c>
      <c r="Z52" s="67">
        <f>X52+Y52</f>
        <v>109.30471172330357</v>
      </c>
      <c r="AA52" s="67">
        <f>T52*(1-D52)*p_death_advanced</f>
        <v>63.21905355694387</v>
      </c>
      <c r="AB52" s="67">
        <f>(R52+S52)*G52</f>
        <v>0.0</v>
      </c>
      <c r="AC52" s="67">
        <f>G52*(R52*(1-screen_specificity)+S52*screen_sensitivity)</f>
        <v>0.0</v>
      </c>
      <c r="AD52" s="68">
        <f>AB52*cost_screen_test+AC52*cost_followup_test</f>
        <v>0.0</v>
      </c>
      <c r="AE52" s="68">
        <f>X52*cost_early_treatment</f>
        <v>504483.2848767856</v>
      </c>
      <c r="AF52" s="68">
        <f>T52*cost_advanced_year</f>
        <v>5380344.983569692</v>
      </c>
      <c r="AG52" s="68">
        <f>AD52+AE52+AF52</f>
        <v>5884828.268446477</v>
      </c>
      <c r="AH52" s="67">
        <f>V52</f>
        <v>51861.60306335245</v>
      </c>
      <c r="AI52" s="67">
        <f>R52*u_healthy+S52*u_early+T52*u_advanced</f>
        <v>46563.39724161762</v>
      </c>
      <c r="AJ52" s="69">
        <f>1/(1+disc_costs)^A52</f>
        <v>0.2805429359518034</v>
      </c>
      <c r="AK52" s="69">
        <f>1/(1+disc_effects)^A52</f>
        <v>0.2805429359518034</v>
      </c>
      <c r="AL52" s="68">
        <f>AG52*AJ52</f>
        <v>1650947.0000021423</v>
      </c>
      <c r="AM52" s="67">
        <f>AI52*AK52</f>
        <v>13063.032170053511</v>
      </c>
      <c r="AN52" s="67">
        <f>AH52*AK52</f>
        <v>14549.406386559938</v>
      </c>
      <c r="AO52" s="64" t="str">
        <f>IF(AND(ABS(V52+U52-cohort_size)&lt;0.000001*cohort_size,MIN(I52:Q52)&gt;=0,MAX(I52:Q52)&lt;=1),"OK","CHECK")</f>
        <v>OK</v>
      </c>
    </row>
    <row r="53">
      <c r="A53" s="63">
        <f>A52+1</f>
        <v>44.0</v>
      </c>
      <c r="B53" s="63">
        <f>start_age+A53</f>
        <v>84.0</v>
      </c>
      <c r="C53" s="64" t="str">
        <f>INDEX(age_band_label,MATCH(B53,age_band_start,1))</f>
        <v>80-84</v>
      </c>
      <c r="D53" s="65">
        <f>INDEX(p_background_death,MATCH(B53,age_band_start,1))</f>
        <v>0.06</v>
      </c>
      <c r="E53" s="65">
        <f>INDEX(p_cancer_onset,MATCH(B53,age_band_start,1))</f>
        <v>0.0024</v>
      </c>
      <c r="F53" s="63">
        <f>IF(AND($B$3="Yes",B53&gt;=$E$3,B53&lt;=$H$3),1,0)</f>
        <v>0.0</v>
      </c>
      <c r="G53" s="66">
        <f>F53*screen_participation</f>
        <v>0.0</v>
      </c>
      <c r="H53" s="65">
        <f>1-(1-p_detect_symptoms)*(1-G53*screen_sensitivity)</f>
        <v>0.09999999999999998</v>
      </c>
      <c r="I53" s="65">
        <f>1-J53-K53</f>
        <v>0.9377439999999999</v>
      </c>
      <c r="J53" s="65">
        <f>(1-D53)*E53</f>
        <v>0.0022559999999999998</v>
      </c>
      <c r="K53" s="65">
        <f>D53</f>
        <v>0.06</v>
      </c>
      <c r="L53" s="65">
        <f>(1-D53)*H53*p_cure_early</f>
        <v>0.08459999999999998</v>
      </c>
      <c r="M53" s="65">
        <f>(1-D53)*(1-H53)*(1-p_progression)</f>
        <v>0.6345</v>
      </c>
      <c r="N53" s="65">
        <f>(1-D53)*(H53*(1-p_cure_early)+(1-H53)*p_progression)</f>
        <v>0.22089999999999999</v>
      </c>
      <c r="O53" s="65">
        <f>D53</f>
        <v>0.06</v>
      </c>
      <c r="P53" s="65">
        <f>1-Q53</f>
        <v>0.705</v>
      </c>
      <c r="Q53" s="65">
        <f>1-(1-D53)*(1-p_death_advanced)</f>
        <v>0.29500000000000004</v>
      </c>
      <c r="R53" s="67">
        <f>R52*I52+S52*L52</f>
        <v>48075.3917721573</v>
      </c>
      <c r="S53" s="67">
        <f>R52*J52+S52*M52</f>
        <v>342.60317853552715</v>
      </c>
      <c r="T53" s="67">
        <f>S52*N52+T52*P52</f>
        <v>268.69287530152803</v>
      </c>
      <c r="U53" s="67">
        <f>U52+R52*K52+S52*O52+T52*Q52</f>
        <v>51313.31217400565</v>
      </c>
      <c r="V53" s="67">
        <f>R53+S53+T53</f>
        <v>48686.68782599436</v>
      </c>
      <c r="W53" s="67">
        <f>R53*J53</f>
        <v>108.45808383798686</v>
      </c>
      <c r="X53" s="67">
        <f>S53*(1-D53)*H53</f>
        <v>32.20469878233954</v>
      </c>
      <c r="Y53" s="67">
        <f>S53*(1-D53)*(1-H53)*p_progression</f>
        <v>72.46057226026399</v>
      </c>
      <c r="Z53" s="67">
        <f>X53+Y53</f>
        <v>104.66527104260354</v>
      </c>
      <c r="AA53" s="67">
        <f>T53*(1-D53)*p_death_advanced</f>
        <v>63.14282569585908</v>
      </c>
      <c r="AB53" s="67">
        <f>(R53+S53)*G53</f>
        <v>0.0</v>
      </c>
      <c r="AC53" s="67">
        <f>G53*(R53*(1-screen_specificity)+S53*screen_sensitivity)</f>
        <v>0.0</v>
      </c>
      <c r="AD53" s="68">
        <f>AB53*cost_screen_test+AC53*cost_followup_test</f>
        <v>0.0</v>
      </c>
      <c r="AE53" s="68">
        <f>X53*cost_early_treatment</f>
        <v>483070.4817350931</v>
      </c>
      <c r="AF53" s="68">
        <f>T53*cost_advanced_year</f>
        <v>5373857.5060305605</v>
      </c>
      <c r="AG53" s="68">
        <f>AD53+AE53+AF53</f>
        <v>5856927.987765654</v>
      </c>
      <c r="AH53" s="67">
        <f>V53</f>
        <v>48686.68782599436</v>
      </c>
      <c r="AI53" s="67">
        <f>R53*u_healthy+S53*u_early+T53*u_advanced</f>
        <v>43706.84637811261</v>
      </c>
      <c r="AJ53" s="69">
        <f>1/(1+disc_costs)^A53</f>
        <v>0.272371782477479</v>
      </c>
      <c r="AK53" s="69">
        <f>1/(1+disc_effects)^A53</f>
        <v>0.272371782477479</v>
      </c>
      <c r="AL53" s="68">
        <f>AG53*AJ53</f>
        <v>1595261.9158699655</v>
      </c>
      <c r="AM53" s="67">
        <f>AI53*AK53</f>
        <v>11904.51165447588</v>
      </c>
      <c r="AN53" s="67">
        <f>AH53*AK53</f>
        <v>13260.879946090661</v>
      </c>
      <c r="AO53" s="64" t="str">
        <f>IF(AND(ABS(V53+U53-cohort_size)&lt;0.000001*cohort_size,MIN(I53:Q53)&gt;=0,MAX(I53:Q53)&lt;=1),"OK","CHECK")</f>
        <v>OK</v>
      </c>
    </row>
    <row r="54">
      <c r="A54" s="63">
        <f>A53+1</f>
        <v>45.0</v>
      </c>
      <c r="B54" s="63">
        <f>start_age+A54</f>
        <v>85.0</v>
      </c>
      <c r="C54" s="64" t="str">
        <f>INDEX(age_band_label,MATCH(B54,age_band_start,1))</f>
        <v>85-89</v>
      </c>
      <c r="D54" s="65">
        <f>INDEX(p_background_death,MATCH(B54,age_band_start,1))</f>
        <v>0.105</v>
      </c>
      <c r="E54" s="65">
        <f>INDEX(p_cancer_onset,MATCH(B54,age_band_start,1))</f>
        <v>0.0024</v>
      </c>
      <c r="F54" s="63">
        <f>IF(AND($B$3="Yes",B54&gt;=$E$3,B54&lt;=$H$3),1,0)</f>
        <v>0.0</v>
      </c>
      <c r="G54" s="66">
        <f>F54*screen_participation</f>
        <v>0.0</v>
      </c>
      <c r="H54" s="65">
        <f>1-(1-p_detect_symptoms)*(1-G54*screen_sensitivity)</f>
        <v>0.09999999999999998</v>
      </c>
      <c r="I54" s="65">
        <f>1-J54-K54</f>
        <v>0.892852</v>
      </c>
      <c r="J54" s="65">
        <f>(1-D54)*E54</f>
        <v>0.0021479999999999997</v>
      </c>
      <c r="K54" s="65">
        <f>D54</f>
        <v>0.105</v>
      </c>
      <c r="L54" s="65">
        <f>(1-D54)*H54*p_cure_early</f>
        <v>0.08054999999999998</v>
      </c>
      <c r="M54" s="65">
        <f>(1-D54)*(1-H54)*(1-p_progression)</f>
        <v>0.604125</v>
      </c>
      <c r="N54" s="65">
        <f>(1-D54)*(H54*(1-p_cure_early)+(1-H54)*p_progression)</f>
        <v>0.21032499999999998</v>
      </c>
      <c r="O54" s="65">
        <f>D54</f>
        <v>0.105</v>
      </c>
      <c r="P54" s="65">
        <f>1-Q54</f>
        <v>0.67125</v>
      </c>
      <c r="Q54" s="65">
        <f>1-(1-D54)*(1-p_death_advanced)</f>
        <v>0.32875</v>
      </c>
      <c r="R54" s="67">
        <f>R53*I53+S53*L53</f>
        <v>45111.394410893976</v>
      </c>
      <c r="S54" s="67">
        <f>R53*J53+S53*M53</f>
        <v>325.8398006187788</v>
      </c>
      <c r="T54" s="67">
        <f>S53*N53+T53*P53</f>
        <v>265.1095192260752</v>
      </c>
      <c r="U54" s="67">
        <f>U53+R53*K53+S53*O53+T53*Q53</f>
        <v>54297.65626926117</v>
      </c>
      <c r="V54" s="67">
        <f>R54+S54+T54</f>
        <v>45702.34373073883</v>
      </c>
      <c r="W54" s="67">
        <f>R54*J54</f>
        <v>96.89927519460025</v>
      </c>
      <c r="X54" s="67">
        <f>S54*(1-D54)*H54</f>
        <v>29.162662155380694</v>
      </c>
      <c r="Y54" s="67">
        <f>S54*(1-D54)*(1-H54)*p_progression</f>
        <v>65.61598984960658</v>
      </c>
      <c r="Z54" s="67">
        <f>X54+Y54</f>
        <v>94.77865200498726</v>
      </c>
      <c r="AA54" s="67">
        <f>T54*(1-D54)*p_death_advanced</f>
        <v>59.31825492683432</v>
      </c>
      <c r="AB54" s="67">
        <f>(R54+S54)*G54</f>
        <v>0.0</v>
      </c>
      <c r="AC54" s="67">
        <f>G54*(R54*(1-screen_specificity)+S54*screen_sensitivity)</f>
        <v>0.0</v>
      </c>
      <c r="AD54" s="68">
        <f>AB54*cost_screen_test+AC54*cost_followup_test</f>
        <v>0.0</v>
      </c>
      <c r="AE54" s="68">
        <f>X54*cost_early_treatment</f>
        <v>437439.9323307104</v>
      </c>
      <c r="AF54" s="68">
        <f>T54*cost_advanced_year</f>
        <v>5302190.384521504</v>
      </c>
      <c r="AG54" s="68">
        <f>AD54+AE54+AF54</f>
        <v>5739630.316852215</v>
      </c>
      <c r="AH54" s="67">
        <f>V54</f>
        <v>45702.34373073883</v>
      </c>
      <c r="AI54" s="67">
        <f>R54*u_healthy+S54*u_early+T54*u_advanced</f>
        <v>41023.02903590488</v>
      </c>
      <c r="AJ54" s="69">
        <f>1/(1+disc_costs)^A54</f>
        <v>0.26443862376454275</v>
      </c>
      <c r="AK54" s="69">
        <f>1/(1+disc_effects)^A54</f>
        <v>0.26443862376454275</v>
      </c>
      <c r="AL54" s="68">
        <f>AG54*AJ54</f>
        <v>1517779.9419056461</v>
      </c>
      <c r="AM54" s="67">
        <f>AI54*AK54</f>
        <v>10848.073340907564</v>
      </c>
      <c r="AN54" s="67">
        <f>AH54*AK54</f>
        <v>12085.464878970655</v>
      </c>
      <c r="AO54" s="64" t="str">
        <f>IF(AND(ABS(V54+U54-cohort_size)&lt;0.000001*cohort_size,MIN(I54:Q54)&gt;=0,MAX(I54:Q54)&lt;=1),"OK","CHECK")</f>
        <v>OK</v>
      </c>
    </row>
    <row r="55">
      <c r="A55" s="63">
        <f>A54+1</f>
        <v>46.0</v>
      </c>
      <c r="B55" s="63">
        <f>start_age+A55</f>
        <v>86.0</v>
      </c>
      <c r="C55" s="64" t="str">
        <f>INDEX(age_band_label,MATCH(B55,age_band_start,1))</f>
        <v>85-89</v>
      </c>
      <c r="D55" s="65">
        <f>INDEX(p_background_death,MATCH(B55,age_band_start,1))</f>
        <v>0.105</v>
      </c>
      <c r="E55" s="65">
        <f>INDEX(p_cancer_onset,MATCH(B55,age_band_start,1))</f>
        <v>0.0024</v>
      </c>
      <c r="F55" s="63">
        <f>IF(AND($B$3="Yes",B55&gt;=$E$3,B55&lt;=$H$3),1,0)</f>
        <v>0.0</v>
      </c>
      <c r="G55" s="66">
        <f>F55*screen_participation</f>
        <v>0.0</v>
      </c>
      <c r="H55" s="65">
        <f>1-(1-p_detect_symptoms)*(1-G55*screen_sensitivity)</f>
        <v>0.09999999999999998</v>
      </c>
      <c r="I55" s="65">
        <f>1-J55-K55</f>
        <v>0.892852</v>
      </c>
      <c r="J55" s="65">
        <f>(1-D55)*E55</f>
        <v>0.0021479999999999997</v>
      </c>
      <c r="K55" s="65">
        <f>D55</f>
        <v>0.105</v>
      </c>
      <c r="L55" s="65">
        <f>(1-D55)*H55*p_cure_early</f>
        <v>0.08054999999999998</v>
      </c>
      <c r="M55" s="65">
        <f>(1-D55)*(1-H55)*(1-p_progression)</f>
        <v>0.604125</v>
      </c>
      <c r="N55" s="65">
        <f>(1-D55)*(H55*(1-p_cure_early)+(1-H55)*p_progression)</f>
        <v>0.21032499999999998</v>
      </c>
      <c r="O55" s="65">
        <f>D55</f>
        <v>0.105</v>
      </c>
      <c r="P55" s="65">
        <f>1-Q55</f>
        <v>0.67125</v>
      </c>
      <c r="Q55" s="65">
        <f>1-(1-D55)*(1-p_death_advanced)</f>
        <v>0.32875</v>
      </c>
      <c r="R55" s="67">
        <f>R54*I54+S54*L54</f>
        <v>40304.04511849535</v>
      </c>
      <c r="S55" s="67">
        <f>R54*J54+S54*M54</f>
        <v>293.74724474341997</v>
      </c>
      <c r="T55" s="67">
        <f>S54*N54+T54*P54</f>
        <v>246.48702084564758</v>
      </c>
      <c r="U55" s="67">
        <f>U54+R54*K54+S54*O54+T54*Q54</f>
        <v>59155.72061591558</v>
      </c>
      <c r="V55" s="67">
        <f>R55+S55+T55</f>
        <v>40844.27938408442</v>
      </c>
      <c r="W55" s="67">
        <f>R55*J55</f>
        <v>86.573088914528</v>
      </c>
      <c r="X55" s="67">
        <f>S55*(1-D55)*H55</f>
        <v>26.290378404536078</v>
      </c>
      <c r="Y55" s="67">
        <f>S55*(1-D55)*(1-H55)*p_progression</f>
        <v>59.15335141020619</v>
      </c>
      <c r="Z55" s="67">
        <f>X55+Y55</f>
        <v>85.44372981474227</v>
      </c>
      <c r="AA55" s="67">
        <f>T55*(1-D55)*p_death_advanced</f>
        <v>55.15147091421365</v>
      </c>
      <c r="AB55" s="67">
        <f>(R55+S55)*G55</f>
        <v>0.0</v>
      </c>
      <c r="AC55" s="67">
        <f>G55*(R55*(1-screen_specificity)+S55*screen_sensitivity)</f>
        <v>0.0</v>
      </c>
      <c r="AD55" s="68">
        <f>AB55*cost_screen_test+AC55*cost_followup_test</f>
        <v>0.0</v>
      </c>
      <c r="AE55" s="68">
        <f>X55*cost_early_treatment</f>
        <v>394355.6760680412</v>
      </c>
      <c r="AF55" s="68">
        <f>T55*cost_advanced_year</f>
        <v>4929740.4169129515</v>
      </c>
      <c r="AG55" s="68">
        <f>AD55+AE55+AF55</f>
        <v>5324096.092980993</v>
      </c>
      <c r="AH55" s="67">
        <f>V55</f>
        <v>40844.27938408442</v>
      </c>
      <c r="AI55" s="67">
        <f>R55*u_healthy+S55*u_early+T55*u_advanced</f>
        <v>36658.893626142824</v>
      </c>
      <c r="AJ55" s="69">
        <f>1/(1+disc_costs)^A55</f>
        <v>0.2567365279267405</v>
      </c>
      <c r="AK55" s="69">
        <f>1/(1+disc_effects)^A55</f>
        <v>0.2567365279267405</v>
      </c>
      <c r="AL55" s="68">
        <f>AG55*AJ55</f>
        <v>1366889.9452602647</v>
      </c>
      <c r="AM55" s="67">
        <f>AI55*AK55</f>
        <v>9411.677067211627</v>
      </c>
      <c r="AN55" s="67">
        <f>AH55*AK55</f>
        <v>10486.21847473958</v>
      </c>
      <c r="AO55" s="64" t="str">
        <f>IF(AND(ABS(V55+U55-cohort_size)&lt;0.000001*cohort_size,MIN(I55:Q55)&gt;=0,MAX(I55:Q55)&lt;=1),"OK","CHECK")</f>
        <v>OK</v>
      </c>
    </row>
    <row r="56">
      <c r="A56" s="63">
        <f>A55+1</f>
        <v>47.0</v>
      </c>
      <c r="B56" s="63">
        <f>start_age+A56</f>
        <v>87.0</v>
      </c>
      <c r="C56" s="64" t="str">
        <f>INDEX(age_band_label,MATCH(B56,age_band_start,1))</f>
        <v>85-89</v>
      </c>
      <c r="D56" s="65">
        <f>INDEX(p_background_death,MATCH(B56,age_band_start,1))</f>
        <v>0.105</v>
      </c>
      <c r="E56" s="65">
        <f>INDEX(p_cancer_onset,MATCH(B56,age_band_start,1))</f>
        <v>0.0024</v>
      </c>
      <c r="F56" s="63">
        <f>IF(AND($B$3="Yes",B56&gt;=$E$3,B56&lt;=$H$3),1,0)</f>
        <v>0.0</v>
      </c>
      <c r="G56" s="66">
        <f>F56*screen_participation</f>
        <v>0.0</v>
      </c>
      <c r="H56" s="65">
        <f>1-(1-p_detect_symptoms)*(1-G56*screen_sensitivity)</f>
        <v>0.09999999999999998</v>
      </c>
      <c r="I56" s="65">
        <f>1-J56-K56</f>
        <v>0.892852</v>
      </c>
      <c r="J56" s="65">
        <f>(1-D56)*E56</f>
        <v>0.0021479999999999997</v>
      </c>
      <c r="K56" s="65">
        <f>D56</f>
        <v>0.105</v>
      </c>
      <c r="L56" s="65">
        <f>(1-D56)*H56*p_cure_early</f>
        <v>0.08054999999999998</v>
      </c>
      <c r="M56" s="65">
        <f>(1-D56)*(1-H56)*(1-p_progression)</f>
        <v>0.604125</v>
      </c>
      <c r="N56" s="65">
        <f>(1-D56)*(H56*(1-p_cure_early)+(1-H56)*p_progression)</f>
        <v>0.21032499999999998</v>
      </c>
      <c r="O56" s="65">
        <f>D56</f>
        <v>0.105</v>
      </c>
      <c r="P56" s="65">
        <f>1-Q56</f>
        <v>0.67125</v>
      </c>
      <c r="Q56" s="65">
        <f>1-(1-D56)*(1-p_death_advanced)</f>
        <v>0.32875</v>
      </c>
      <c r="R56" s="67">
        <f>R55*I55+S55*L55</f>
        <v>36009.20863270289</v>
      </c>
      <c r="S56" s="67">
        <f>R55*J55+S55*M55</f>
        <v>264.0331431451466</v>
      </c>
      <c r="T56" s="67">
        <f>S55*N55+T55*P55</f>
        <v>227.23680199330073</v>
      </c>
      <c r="U56" s="67">
        <f>U55+R55*K55+S55*O55+T55*Q55</f>
        <v>63499.52142215866</v>
      </c>
      <c r="V56" s="67">
        <f>R56+S56+T56</f>
        <v>36500.478577841335</v>
      </c>
      <c r="W56" s="67">
        <f>R56*J56</f>
        <v>77.3477801430458</v>
      </c>
      <c r="X56" s="67">
        <f>S56*(1-D56)*H56</f>
        <v>23.630966311490617</v>
      </c>
      <c r="Y56" s="67">
        <f>S56*(1-D56)*(1-H56)*p_progression</f>
        <v>53.1696742008539</v>
      </c>
      <c r="Z56" s="67">
        <f>X56+Y56</f>
        <v>76.80064051234451</v>
      </c>
      <c r="AA56" s="67">
        <f>T56*(1-D56)*p_death_advanced</f>
        <v>50.84423444600104</v>
      </c>
      <c r="AB56" s="67">
        <f>(R56+S56)*G56</f>
        <v>0.0</v>
      </c>
      <c r="AC56" s="67">
        <f>G56*(R56*(1-screen_specificity)+S56*screen_sensitivity)</f>
        <v>0.0</v>
      </c>
      <c r="AD56" s="68">
        <f>AB56*cost_screen_test+AC56*cost_followup_test</f>
        <v>0.0</v>
      </c>
      <c r="AE56" s="68">
        <f>X56*cost_early_treatment</f>
        <v>354464.49467235926</v>
      </c>
      <c r="AF56" s="68">
        <f>T56*cost_advanced_year</f>
        <v>4544736.039866014</v>
      </c>
      <c r="AG56" s="68">
        <f>AD56+AE56+AF56</f>
        <v>4899200.534538373</v>
      </c>
      <c r="AH56" s="67">
        <f>V56</f>
        <v>36500.478577841335</v>
      </c>
      <c r="AI56" s="67">
        <f>R56*u_healthy+S56*u_early+T56*u_advanced</f>
        <v>32757.696182202293</v>
      </c>
      <c r="AJ56" s="69">
        <f>1/(1+disc_costs)^A56</f>
        <v>0.249258764977418</v>
      </c>
      <c r="AK56" s="69">
        <f>1/(1+disc_effects)^A56</f>
        <v>0.249258764977418</v>
      </c>
      <c r="AL56" s="68">
        <f>AG56*AJ56</f>
        <v>1221168.674615741</v>
      </c>
      <c r="AM56" s="67">
        <f>AI56*AK56</f>
        <v>8165.142893881224</v>
      </c>
      <c r="AN56" s="67">
        <f>AH56*AK56</f>
        <v>9098.064211397434</v>
      </c>
      <c r="AO56" s="64" t="str">
        <f>IF(AND(ABS(V56+U56-cohort_size)&lt;0.000001*cohort_size,MIN(I56:Q56)&gt;=0,MAX(I56:Q56)&lt;=1),"OK","CHECK")</f>
        <v>OK</v>
      </c>
    </row>
    <row r="57">
      <c r="A57" s="63">
        <f>A56+1</f>
        <v>48.0</v>
      </c>
      <c r="B57" s="63">
        <f>start_age+A57</f>
        <v>88.0</v>
      </c>
      <c r="C57" s="64" t="str">
        <f>INDEX(age_band_label,MATCH(B57,age_band_start,1))</f>
        <v>85-89</v>
      </c>
      <c r="D57" s="65">
        <f>INDEX(p_background_death,MATCH(B57,age_band_start,1))</f>
        <v>0.105</v>
      </c>
      <c r="E57" s="65">
        <f>INDEX(p_cancer_onset,MATCH(B57,age_band_start,1))</f>
        <v>0.0024</v>
      </c>
      <c r="F57" s="63">
        <f>IF(AND($B$3="Yes",B57&gt;=$E$3,B57&lt;=$H$3),1,0)</f>
        <v>0.0</v>
      </c>
      <c r="G57" s="66">
        <f>F57*screen_participation</f>
        <v>0.0</v>
      </c>
      <c r="H57" s="65">
        <f>1-(1-p_detect_symptoms)*(1-G57*screen_sensitivity)</f>
        <v>0.09999999999999998</v>
      </c>
      <c r="I57" s="65">
        <f>1-J57-K57</f>
        <v>0.892852</v>
      </c>
      <c r="J57" s="65">
        <f>(1-D57)*E57</f>
        <v>0.0021479999999999997</v>
      </c>
      <c r="K57" s="65">
        <f>D57</f>
        <v>0.105</v>
      </c>
      <c r="L57" s="65">
        <f>(1-D57)*H57*p_cure_early</f>
        <v>0.08054999999999998</v>
      </c>
      <c r="M57" s="65">
        <f>(1-D57)*(1-H57)*(1-p_progression)</f>
        <v>0.604125</v>
      </c>
      <c r="N57" s="65">
        <f>(1-D57)*(H57*(1-p_cure_early)+(1-H57)*p_progression)</f>
        <v>0.21032499999999998</v>
      </c>
      <c r="O57" s="65">
        <f>D57</f>
        <v>0.105</v>
      </c>
      <c r="P57" s="65">
        <f>1-Q57</f>
        <v>0.67125</v>
      </c>
      <c r="Q57" s="65">
        <f>1-(1-D57)*(1-p_death_advanced)</f>
        <v>0.32875</v>
      </c>
      <c r="R57" s="67">
        <f>R56*I56+S56*L56</f>
        <v>32172.16181580638</v>
      </c>
      <c r="S57" s="67">
        <f>R56*J56+S56*M56</f>
        <v>236.85680274560747</v>
      </c>
      <c r="T57" s="67">
        <f>S56*N56+T56*P56</f>
        <v>208.0654741700061</v>
      </c>
      <c r="U57" s="67">
        <f>U56+R56*K56+S56*O56+T56*Q56</f>
        <v>67382.915907278</v>
      </c>
      <c r="V57" s="67">
        <f>R57+S57+T57</f>
        <v>32617.08409272199</v>
      </c>
      <c r="W57" s="67">
        <f>R57*J57</f>
        <v>69.10580358035209</v>
      </c>
      <c r="X57" s="67">
        <f>S57*(1-D57)*H57</f>
        <v>21.198683845731864</v>
      </c>
      <c r="Y57" s="67">
        <f>S57*(1-D57)*(1-H57)*p_progression</f>
        <v>47.69703865289671</v>
      </c>
      <c r="Z57" s="67">
        <f>X57+Y57</f>
        <v>68.89572249862857</v>
      </c>
      <c r="AA57" s="67">
        <f>T57*(1-D57)*p_death_advanced</f>
        <v>46.55464984553887</v>
      </c>
      <c r="AB57" s="67">
        <f>(R57+S57)*G57</f>
        <v>0.0</v>
      </c>
      <c r="AC57" s="67">
        <f>G57*(R57*(1-screen_specificity)+S57*screen_sensitivity)</f>
        <v>0.0</v>
      </c>
      <c r="AD57" s="68">
        <f>AB57*cost_screen_test+AC57*cost_followup_test</f>
        <v>0.0</v>
      </c>
      <c r="AE57" s="68">
        <f>X57*cost_early_treatment</f>
        <v>317980.25768597797</v>
      </c>
      <c r="AF57" s="68">
        <f>T57*cost_advanced_year</f>
        <v>4161309.483400122</v>
      </c>
      <c r="AG57" s="68">
        <f>AD57+AE57+AF57</f>
        <v>4479289.741086099</v>
      </c>
      <c r="AH57" s="67">
        <f>V57</f>
        <v>32617.08409272199</v>
      </c>
      <c r="AI57" s="67">
        <f>R57*u_healthy+S57*u_early+T57*u_advanced</f>
        <v>29270.70992735301</v>
      </c>
      <c r="AJ57" s="69">
        <f>1/(1+disc_costs)^A57</f>
        <v>0.2419988009489495</v>
      </c>
      <c r="AK57" s="69">
        <f>1/(1+disc_effects)^A57</f>
        <v>0.2419988009489495</v>
      </c>
      <c r="AL57" s="68">
        <f>AG57*AJ57</f>
        <v>1083982.7464457664</v>
      </c>
      <c r="AM57" s="67">
        <f>AI57*AK57</f>
        <v>7083.476705343941</v>
      </c>
      <c r="AN57" s="67">
        <f>AH57*AK57</f>
        <v>7893.295240889775</v>
      </c>
      <c r="AO57" s="64" t="str">
        <f>IF(AND(ABS(V57+U57-cohort_size)&lt;0.000001*cohort_size,MIN(I57:Q57)&gt;=0,MAX(I57:Q57)&lt;=1),"OK","CHECK")</f>
        <v>OK</v>
      </c>
    </row>
    <row r="58">
      <c r="A58" s="63">
        <f>A57+1</f>
        <v>49.0</v>
      </c>
      <c r="B58" s="63">
        <f>start_age+A58</f>
        <v>89.0</v>
      </c>
      <c r="C58" s="64" t="str">
        <f>INDEX(age_band_label,MATCH(B58,age_band_start,1))</f>
        <v>85-89</v>
      </c>
      <c r="D58" s="65">
        <f>INDEX(p_background_death,MATCH(B58,age_band_start,1))</f>
        <v>0.105</v>
      </c>
      <c r="E58" s="65">
        <f>INDEX(p_cancer_onset,MATCH(B58,age_band_start,1))</f>
        <v>0.0024</v>
      </c>
      <c r="F58" s="63">
        <f>IF(AND($B$3="Yes",B58&gt;=$E$3,B58&lt;=$H$3),1,0)</f>
        <v>0.0</v>
      </c>
      <c r="G58" s="66">
        <f>F58*screen_participation</f>
        <v>0.0</v>
      </c>
      <c r="H58" s="65">
        <f>1-(1-p_detect_symptoms)*(1-G58*screen_sensitivity)</f>
        <v>0.09999999999999998</v>
      </c>
      <c r="I58" s="65">
        <f>1-J58-K58</f>
        <v>0.892852</v>
      </c>
      <c r="J58" s="65">
        <f>(1-D58)*E58</f>
        <v>0.0021479999999999997</v>
      </c>
      <c r="K58" s="65">
        <f>D58</f>
        <v>0.105</v>
      </c>
      <c r="L58" s="65">
        <f>(1-D58)*H58*p_cure_early</f>
        <v>0.08054999999999998</v>
      </c>
      <c r="M58" s="65">
        <f>(1-D58)*(1-H58)*(1-p_progression)</f>
        <v>0.604125</v>
      </c>
      <c r="N58" s="65">
        <f>(1-D58)*(H58*(1-p_cure_early)+(1-H58)*p_progression)</f>
        <v>0.21032499999999998</v>
      </c>
      <c r="O58" s="65">
        <f>D58</f>
        <v>0.105</v>
      </c>
      <c r="P58" s="65">
        <f>1-Q58</f>
        <v>0.67125</v>
      </c>
      <c r="Q58" s="65">
        <f>1-(1-D58)*(1-p_death_advanced)</f>
        <v>0.32875</v>
      </c>
      <c r="R58" s="67">
        <f>R57*I57+S57*L57</f>
        <v>28744.057837027514</v>
      </c>
      <c r="S58" s="67">
        <f>R57*J57+S57*M57</f>
        <v>212.1969195390422</v>
      </c>
      <c r="T58" s="67">
        <f>S57*N57+T57*P57</f>
        <v>189.4808565740865</v>
      </c>
      <c r="U58" s="67">
        <f>U57+R57*K57+S57*O57+T57*Q57</f>
        <v>70854.26438685934</v>
      </c>
      <c r="V58" s="67">
        <f>R58+S58+T58</f>
        <v>29145.73561314064</v>
      </c>
      <c r="W58" s="67">
        <f>R58*J58</f>
        <v>61.742236233935095</v>
      </c>
      <c r="X58" s="67">
        <f>S58*(1-D58)*H58</f>
        <v>18.991624298744274</v>
      </c>
      <c r="Y58" s="67">
        <f>S58*(1-D58)*(1-H58)*p_progression</f>
        <v>42.731154672174625</v>
      </c>
      <c r="Z58" s="67">
        <f>X58+Y58</f>
        <v>61.722778970918895</v>
      </c>
      <c r="AA58" s="67">
        <f>T58*(1-D58)*p_death_advanced</f>
        <v>42.39634165845185</v>
      </c>
      <c r="AB58" s="67">
        <f>(R58+S58)*G58</f>
        <v>0.0</v>
      </c>
      <c r="AC58" s="67">
        <f>G58*(R58*(1-screen_specificity)+S58*screen_sensitivity)</f>
        <v>0.0</v>
      </c>
      <c r="AD58" s="68">
        <f>AB58*cost_screen_test+AC58*cost_followup_test</f>
        <v>0.0</v>
      </c>
      <c r="AE58" s="68">
        <f>X58*cost_early_treatment</f>
        <v>284874.3644811641</v>
      </c>
      <c r="AF58" s="68">
        <f>T58*cost_advanced_year</f>
        <v>3789617.13148173</v>
      </c>
      <c r="AG58" s="68">
        <f>AD58+AE58+AF58</f>
        <v>4074491.495962894</v>
      </c>
      <c r="AH58" s="67">
        <f>V58</f>
        <v>29145.73561314064</v>
      </c>
      <c r="AI58" s="67">
        <f>R58*u_healthy+S58*u_early+T58*u_advanced</f>
        <v>26154.2339060487</v>
      </c>
      <c r="AJ58" s="69">
        <f>1/(1+disc_costs)^A58</f>
        <v>0.2349502921834461</v>
      </c>
      <c r="AK58" s="69">
        <f>1/(1+disc_effects)^A58</f>
        <v>0.2349502921834461</v>
      </c>
      <c r="AL58" s="68">
        <f>AG58*AJ58</f>
        <v>957302.9674754484</v>
      </c>
      <c r="AM58" s="67">
        <f>AI58*AK58</f>
        <v>6144.944898060335</v>
      </c>
      <c r="AN58" s="67">
        <f>AH58*AK58</f>
        <v>6847.799098208864</v>
      </c>
      <c r="AO58" s="64" t="str">
        <f>IF(AND(ABS(V58+U58-cohort_size)&lt;0.000001*cohort_size,MIN(I58:Q58)&gt;=0,MAX(I58:Q58)&lt;=1),"OK","CHECK")</f>
        <v>OK</v>
      </c>
    </row>
    <row r="59">
      <c r="A59" s="63">
        <f>A58+1</f>
        <v>50.0</v>
      </c>
      <c r="B59" s="63">
        <f>start_age+A59</f>
        <v>90.0</v>
      </c>
      <c r="C59" s="64" t="str">
        <f>INDEX(age_band_label,MATCH(B59,age_band_start,1))</f>
        <v>90-94</v>
      </c>
      <c r="D59" s="65">
        <f>INDEX(p_background_death,MATCH(B59,age_band_start,1))</f>
        <v>0.18</v>
      </c>
      <c r="E59" s="65">
        <f>INDEX(p_cancer_onset,MATCH(B59,age_band_start,1))</f>
        <v>0.0024</v>
      </c>
      <c r="F59" s="63">
        <f>IF(AND($B$3="Yes",B59&gt;=$E$3,B59&lt;=$H$3),1,0)</f>
        <v>0.0</v>
      </c>
      <c r="G59" s="66">
        <f>F59*screen_participation</f>
        <v>0.0</v>
      </c>
      <c r="H59" s="65">
        <f>1-(1-p_detect_symptoms)*(1-G59*screen_sensitivity)</f>
        <v>0.09999999999999998</v>
      </c>
      <c r="I59" s="65">
        <f>1-J59-K59</f>
        <v>0.8180320000000001</v>
      </c>
      <c r="J59" s="65">
        <f>(1-D59)*E59</f>
        <v>0.001968</v>
      </c>
      <c r="K59" s="65">
        <f>D59</f>
        <v>0.18</v>
      </c>
      <c r="L59" s="65">
        <f>(1-D59)*H59*p_cure_early</f>
        <v>0.07379999999999999</v>
      </c>
      <c r="M59" s="65">
        <f>(1-D59)*(1-H59)*(1-p_progression)</f>
        <v>0.5535000000000001</v>
      </c>
      <c r="N59" s="65">
        <f>(1-D59)*(H59*(1-p_cure_early)+(1-H59)*p_progression)</f>
        <v>0.1927</v>
      </c>
      <c r="O59" s="65">
        <f>D59</f>
        <v>0.18</v>
      </c>
      <c r="P59" s="65">
        <f>1-Q59</f>
        <v>0.615</v>
      </c>
      <c r="Q59" s="65">
        <f>1-(1-D59)*(1-p_death_advanced)</f>
        <v>0.385</v>
      </c>
      <c r="R59" s="67">
        <f>R58*I58+S58*L58</f>
        <v>25681.281989774558</v>
      </c>
      <c r="S59" s="67">
        <f>R58*J58+S58*M58</f>
        <v>189.93570025045898</v>
      </c>
      <c r="T59" s="67">
        <f>S58*N58+T58*P58</f>
        <v>171.8193420774046</v>
      </c>
      <c r="U59" s="67">
        <f>U58+R58*K58+S58*O58+T58*Q58</f>
        <v>73956.96296789756</v>
      </c>
      <c r="V59" s="67">
        <f>R59+S59+T59</f>
        <v>26043.03703210242</v>
      </c>
      <c r="W59" s="67">
        <f>R59*J59</f>
        <v>50.54076295587633</v>
      </c>
      <c r="X59" s="67">
        <f>S59*(1-D59)*H59</f>
        <v>15.574727420537634</v>
      </c>
      <c r="Y59" s="67">
        <f>S59*(1-D59)*(1-H59)*p_progression</f>
        <v>35.043136696209686</v>
      </c>
      <c r="Z59" s="67">
        <f>X59+Y59</f>
        <v>50.61786411674732</v>
      </c>
      <c r="AA59" s="67">
        <f>T59*(1-D59)*p_death_advanced</f>
        <v>35.222965125867944</v>
      </c>
      <c r="AB59" s="67">
        <f>(R59+S59)*G59</f>
        <v>0.0</v>
      </c>
      <c r="AC59" s="67">
        <f>G59*(R59*(1-screen_specificity)+S59*screen_sensitivity)</f>
        <v>0.0</v>
      </c>
      <c r="AD59" s="68">
        <f>AB59*cost_screen_test+AC59*cost_followup_test</f>
        <v>0.0</v>
      </c>
      <c r="AE59" s="68">
        <f>X59*cost_early_treatment</f>
        <v>233620.9113080645</v>
      </c>
      <c r="AF59" s="68">
        <f>T59*cost_advanced_year</f>
        <v>3436386.841548092</v>
      </c>
      <c r="AG59" s="68">
        <f>AD59+AE59+AF59</f>
        <v>3670007.752856157</v>
      </c>
      <c r="AH59" s="67">
        <f>V59</f>
        <v>26043.03703210242</v>
      </c>
      <c r="AI59" s="67">
        <f>R59*u_healthy+S59*u_early+T59*u_advanced</f>
        <v>23369.099774152568</v>
      </c>
      <c r="AJ59" s="69">
        <f>1/(1+disc_costs)^A59</f>
        <v>0.22810707978975348</v>
      </c>
      <c r="AK59" s="69">
        <f>1/(1+disc_effects)^A59</f>
        <v>0.22810707978975348</v>
      </c>
      <c r="AL59" s="68">
        <f>AG59*AJ59</f>
        <v>837154.7513097732</v>
      </c>
      <c r="AM59" s="67">
        <f>AI59*AK59</f>
        <v>5330.65710679733</v>
      </c>
      <c r="AN59" s="67">
        <f>AH59*AK59</f>
        <v>5940.601126249291</v>
      </c>
      <c r="AO59" s="64" t="str">
        <f>IF(AND(ABS(V59+U59-cohort_size)&lt;0.000001*cohort_size,MIN(I59:Q59)&gt;=0,MAX(I59:Q59)&lt;=1),"OK","CHECK")</f>
        <v>OK</v>
      </c>
    </row>
    <row r="60">
      <c r="A60" s="63">
        <f>A59+1</f>
        <v>51.0</v>
      </c>
      <c r="B60" s="63">
        <f>start_age+A60</f>
        <v>91.0</v>
      </c>
      <c r="C60" s="64" t="str">
        <f>INDEX(age_band_label,MATCH(B60,age_band_start,1))</f>
        <v>90-94</v>
      </c>
      <c r="D60" s="65">
        <f>INDEX(p_background_death,MATCH(B60,age_band_start,1))</f>
        <v>0.18</v>
      </c>
      <c r="E60" s="65">
        <f>INDEX(p_cancer_onset,MATCH(B60,age_band_start,1))</f>
        <v>0.0024</v>
      </c>
      <c r="F60" s="63">
        <f>IF(AND($B$3="Yes",B60&gt;=$E$3,B60&lt;=$H$3),1,0)</f>
        <v>0.0</v>
      </c>
      <c r="G60" s="66">
        <f>F60*screen_participation</f>
        <v>0.0</v>
      </c>
      <c r="H60" s="65">
        <f>1-(1-p_detect_symptoms)*(1-G60*screen_sensitivity)</f>
        <v>0.09999999999999998</v>
      </c>
      <c r="I60" s="65">
        <f>1-J60-K60</f>
        <v>0.8180320000000001</v>
      </c>
      <c r="J60" s="65">
        <f>(1-D60)*E60</f>
        <v>0.001968</v>
      </c>
      <c r="K60" s="65">
        <f>D60</f>
        <v>0.18</v>
      </c>
      <c r="L60" s="65">
        <f>(1-D60)*H60*p_cure_early</f>
        <v>0.07379999999999999</v>
      </c>
      <c r="M60" s="65">
        <f>(1-D60)*(1-H60)*(1-p_progression)</f>
        <v>0.5535000000000001</v>
      </c>
      <c r="N60" s="65">
        <f>(1-D60)*(H60*(1-p_cure_early)+(1-H60)*p_progression)</f>
        <v>0.1927</v>
      </c>
      <c r="O60" s="65">
        <f>D60</f>
        <v>0.18</v>
      </c>
      <c r="P60" s="65">
        <f>1-Q60</f>
        <v>0.615</v>
      </c>
      <c r="Q60" s="65">
        <f>1-(1-D60)*(1-p_death_advanced)</f>
        <v>0.385</v>
      </c>
      <c r="R60" s="67">
        <f>R59*I59+S59*L59</f>
        <v>21022.127723337748</v>
      </c>
      <c r="S60" s="67">
        <f>R59*J59+S59*M59</f>
        <v>155.6701730445054</v>
      </c>
      <c r="T60" s="67">
        <f>S59*N59+T59*P59</f>
        <v>142.26950481586726</v>
      </c>
      <c r="U60" s="67">
        <f>U59+R59*K59+S59*O59+T59*Q59</f>
        <v>78679.93259880187</v>
      </c>
      <c r="V60" s="67">
        <f>R60+S60+T60</f>
        <v>21320.06740119812</v>
      </c>
      <c r="W60" s="67">
        <f>R60*J60</f>
        <v>41.37154735952869</v>
      </c>
      <c r="X60" s="67">
        <f>S60*(1-D60)*H60</f>
        <v>12.76495418964944</v>
      </c>
      <c r="Y60" s="67">
        <f>S60*(1-D60)*(1-H60)*p_progression</f>
        <v>28.721146926711246</v>
      </c>
      <c r="Z60" s="67">
        <f>X60+Y60</f>
        <v>41.486101116360686</v>
      </c>
      <c r="AA60" s="67">
        <f>T60*(1-D60)*p_death_advanced</f>
        <v>29.165248487252793</v>
      </c>
      <c r="AB60" s="67">
        <f>(R60+S60)*G60</f>
        <v>0.0</v>
      </c>
      <c r="AC60" s="67">
        <f>G60*(R60*(1-screen_specificity)+S60*screen_sensitivity)</f>
        <v>0.0</v>
      </c>
      <c r="AD60" s="68">
        <f>AB60*cost_screen_test+AC60*cost_followup_test</f>
        <v>0.0</v>
      </c>
      <c r="AE60" s="68">
        <f>X60*cost_early_treatment</f>
        <v>191474.3128447416</v>
      </c>
      <c r="AF60" s="68">
        <f>T60*cost_advanced_year</f>
        <v>2845390.0963173453</v>
      </c>
      <c r="AG60" s="68">
        <f>AD60+AE60+AF60</f>
        <v>3036864.409162087</v>
      </c>
      <c r="AH60" s="67">
        <f>V60</f>
        <v>21320.06740119812</v>
      </c>
      <c r="AI60" s="67">
        <f>R60*u_healthy+S60*u_early+T60*u_advanced</f>
        <v>19130.48282574053</v>
      </c>
      <c r="AJ60" s="69">
        <f>1/(1+disc_costs)^A60</f>
        <v>0.22146318426189657</v>
      </c>
      <c r="AK60" s="69">
        <f>1/(1+disc_effects)^A60</f>
        <v>0.22146318426189657</v>
      </c>
      <c r="AL60" s="68">
        <f>AG60*AJ60</f>
        <v>672553.6622246589</v>
      </c>
      <c r="AM60" s="67">
        <f>AI60*AK60</f>
        <v>4236.6976430560235</v>
      </c>
      <c r="AN60" s="67">
        <f>AH60*AK60</f>
        <v>4721.610015347594</v>
      </c>
      <c r="AO60" s="64" t="str">
        <f>IF(AND(ABS(V60+U60-cohort_size)&lt;0.000001*cohort_size,MIN(I60:Q60)&gt;=0,MAX(I60:Q60)&lt;=1),"OK","CHECK")</f>
        <v>OK</v>
      </c>
    </row>
    <row r="61">
      <c r="A61" s="63">
        <f>A60+1</f>
        <v>52.0</v>
      </c>
      <c r="B61" s="63">
        <f>start_age+A61</f>
        <v>92.0</v>
      </c>
      <c r="C61" s="64" t="str">
        <f>INDEX(age_band_label,MATCH(B61,age_band_start,1))</f>
        <v>90-94</v>
      </c>
      <c r="D61" s="65">
        <f>INDEX(p_background_death,MATCH(B61,age_band_start,1))</f>
        <v>0.18</v>
      </c>
      <c r="E61" s="65">
        <f>INDEX(p_cancer_onset,MATCH(B61,age_band_start,1))</f>
        <v>0.0024</v>
      </c>
      <c r="F61" s="63">
        <f>IF(AND($B$3="Yes",B61&gt;=$E$3,B61&lt;=$H$3),1,0)</f>
        <v>0.0</v>
      </c>
      <c r="G61" s="66">
        <f>F61*screen_participation</f>
        <v>0.0</v>
      </c>
      <c r="H61" s="65">
        <f>1-(1-p_detect_symptoms)*(1-G61*screen_sensitivity)</f>
        <v>0.09999999999999998</v>
      </c>
      <c r="I61" s="65">
        <f>1-J61-K61</f>
        <v>0.8180320000000001</v>
      </c>
      <c r="J61" s="65">
        <f>(1-D61)*E61</f>
        <v>0.001968</v>
      </c>
      <c r="K61" s="65">
        <f>D61</f>
        <v>0.18</v>
      </c>
      <c r="L61" s="65">
        <f>(1-D61)*H61*p_cure_early</f>
        <v>0.07379999999999999</v>
      </c>
      <c r="M61" s="65">
        <f>(1-D61)*(1-H61)*(1-p_progression)</f>
        <v>0.5535000000000001</v>
      </c>
      <c r="N61" s="65">
        <f>(1-D61)*(H61*(1-p_cure_early)+(1-H61)*p_progression)</f>
        <v>0.1927</v>
      </c>
      <c r="O61" s="65">
        <f>D61</f>
        <v>0.18</v>
      </c>
      <c r="P61" s="65">
        <f>1-Q61</f>
        <v>0.615</v>
      </c>
      <c r="Q61" s="65">
        <f>1-(1-D61)*(1-p_death_advanced)</f>
        <v>0.385</v>
      </c>
      <c r="R61" s="67">
        <f>R60*I60+S60*L60</f>
        <v>17208.26164454811</v>
      </c>
      <c r="S61" s="67">
        <f>R60*J60+S60*M60</f>
        <v>127.53498813966245</v>
      </c>
      <c r="T61" s="67">
        <f>S60*N60+T60*P60</f>
        <v>117.49338780743454</v>
      </c>
      <c r="U61" s="67">
        <f>U60+R60*K60+S60*O60+T60*Q60</f>
        <v>82546.70997950478</v>
      </c>
      <c r="V61" s="67">
        <f>R61+S61+T61</f>
        <v>17453.290020495206</v>
      </c>
      <c r="W61" s="67">
        <f>R61*J61</f>
        <v>33.865858916470685</v>
      </c>
      <c r="X61" s="67">
        <f>S61*(1-D61)*H61</f>
        <v>10.457869027452318</v>
      </c>
      <c r="Y61" s="67">
        <f>S61*(1-D61)*(1-H61)*p_progression</f>
        <v>23.530205311767723</v>
      </c>
      <c r="Z61" s="67">
        <f>X61+Y61</f>
        <v>33.98807433922004</v>
      </c>
      <c r="AA61" s="67">
        <f>T61*(1-D61)*p_death_advanced</f>
        <v>24.08614450052408</v>
      </c>
      <c r="AB61" s="67">
        <f>(R61+S61)*G61</f>
        <v>0.0</v>
      </c>
      <c r="AC61" s="67">
        <f>G61*(R61*(1-screen_specificity)+S61*screen_sensitivity)</f>
        <v>0.0</v>
      </c>
      <c r="AD61" s="68">
        <f>AB61*cost_screen_test+AC61*cost_followup_test</f>
        <v>0.0</v>
      </c>
      <c r="AE61" s="68">
        <f>X61*cost_early_treatment</f>
        <v>156868.03541178477</v>
      </c>
      <c r="AF61" s="68">
        <f>T61*cost_advanced_year</f>
        <v>2349867.756148691</v>
      </c>
      <c r="AG61" s="68">
        <f>AD61+AE61+AF61</f>
        <v>2506735.7915604757</v>
      </c>
      <c r="AH61" s="67">
        <f>V61</f>
        <v>17453.290020495206</v>
      </c>
      <c r="AI61" s="67">
        <f>R61*u_healthy+S61*u_early+T61*u_advanced</f>
        <v>15660.461583306102</v>
      </c>
      <c r="AJ61" s="69">
        <f>1/(1+disc_costs)^A61</f>
        <v>0.21501280025426853</v>
      </c>
      <c r="AK61" s="69">
        <f>1/(1+disc_effects)^A61</f>
        <v>0.21501280025426853</v>
      </c>
      <c r="AL61" s="68">
        <f>AG61*AJ61</f>
        <v>538980.2820410182</v>
      </c>
      <c r="AM61" s="67">
        <f>AI61*AK61</f>
        <v>3367.199698301041</v>
      </c>
      <c r="AN61" s="67">
        <f>AH61*AK61</f>
        <v>3752.680760956554</v>
      </c>
      <c r="AO61" s="64" t="str">
        <f>IF(AND(ABS(V61+U61-cohort_size)&lt;0.000001*cohort_size,MIN(I61:Q61)&gt;=0,MAX(I61:Q61)&lt;=1),"OK","CHECK")</f>
        <v>OK</v>
      </c>
    </row>
    <row r="62">
      <c r="A62" s="63">
        <f>A61+1</f>
        <v>53.0</v>
      </c>
      <c r="B62" s="63">
        <f>start_age+A62</f>
        <v>93.0</v>
      </c>
      <c r="C62" s="64" t="str">
        <f>INDEX(age_band_label,MATCH(B62,age_band_start,1))</f>
        <v>90-94</v>
      </c>
      <c r="D62" s="65">
        <f>INDEX(p_background_death,MATCH(B62,age_band_start,1))</f>
        <v>0.18</v>
      </c>
      <c r="E62" s="65">
        <f>INDEX(p_cancer_onset,MATCH(B62,age_band_start,1))</f>
        <v>0.0024</v>
      </c>
      <c r="F62" s="63">
        <f>IF(AND($B$3="Yes",B62&gt;=$E$3,B62&lt;=$H$3),1,0)</f>
        <v>0.0</v>
      </c>
      <c r="G62" s="66">
        <f>F62*screen_participation</f>
        <v>0.0</v>
      </c>
      <c r="H62" s="65">
        <f>1-(1-p_detect_symptoms)*(1-G62*screen_sensitivity)</f>
        <v>0.09999999999999998</v>
      </c>
      <c r="I62" s="65">
        <f>1-J62-K62</f>
        <v>0.8180320000000001</v>
      </c>
      <c r="J62" s="65">
        <f>(1-D62)*E62</f>
        <v>0.001968</v>
      </c>
      <c r="K62" s="65">
        <f>D62</f>
        <v>0.18</v>
      </c>
      <c r="L62" s="65">
        <f>(1-D62)*H62*p_cure_early</f>
        <v>0.07379999999999999</v>
      </c>
      <c r="M62" s="65">
        <f>(1-D62)*(1-H62)*(1-p_progression)</f>
        <v>0.5535000000000001</v>
      </c>
      <c r="N62" s="65">
        <f>(1-D62)*(H62*(1-p_cure_early)+(1-H62)*p_progression)</f>
        <v>0.1927</v>
      </c>
      <c r="O62" s="65">
        <f>D62</f>
        <v>0.18</v>
      </c>
      <c r="P62" s="65">
        <f>1-Q62</f>
        <v>0.615</v>
      </c>
      <c r="Q62" s="65">
        <f>1-(1-D62)*(1-p_death_advanced)</f>
        <v>0.385</v>
      </c>
      <c r="R62" s="67">
        <f>R61*I61+S61*L61</f>
        <v>14086.320771737688</v>
      </c>
      <c r="S62" s="67">
        <f>R61*J61+S61*M61</f>
        <v>104.45647485177386</v>
      </c>
      <c r="T62" s="67">
        <f>S61*N61+T61*P61</f>
        <v>96.83442571608519</v>
      </c>
      <c r="U62" s="67">
        <f>U61+R61*K61+S61*O61+T61*Q61</f>
        <v>85712.38832769444</v>
      </c>
      <c r="V62" s="67">
        <f>R62+S62+T62</f>
        <v>14287.611672305546</v>
      </c>
      <c r="W62" s="67">
        <f>R62*J62</f>
        <v>27.72187927877977</v>
      </c>
      <c r="X62" s="67">
        <f>S62*(1-D62)*H62</f>
        <v>8.565430937845456</v>
      </c>
      <c r="Y62" s="67">
        <f>S62*(1-D62)*(1-H62)*p_progression</f>
        <v>19.27221961015228</v>
      </c>
      <c r="Z62" s="67">
        <f>X62+Y62</f>
        <v>27.837650547997736</v>
      </c>
      <c r="AA62" s="67">
        <f>T62*(1-D62)*p_death_advanced</f>
        <v>19.851057271797465</v>
      </c>
      <c r="AB62" s="67">
        <f>(R62+S62)*G62</f>
        <v>0.0</v>
      </c>
      <c r="AC62" s="67">
        <f>G62*(R62*(1-screen_specificity)+S62*screen_sensitivity)</f>
        <v>0.0</v>
      </c>
      <c r="AD62" s="68">
        <f>AB62*cost_screen_test+AC62*cost_followup_test</f>
        <v>0.0</v>
      </c>
      <c r="AE62" s="68">
        <f>X62*cost_early_treatment</f>
        <v>128481.46406768184</v>
      </c>
      <c r="AF62" s="68">
        <f>T62*cost_advanced_year</f>
        <v>1936688.514321704</v>
      </c>
      <c r="AG62" s="68">
        <f>AD62+AE62+AF62</f>
        <v>2065169.9783893859</v>
      </c>
      <c r="AH62" s="67">
        <f>V62</f>
        <v>14287.611672305546</v>
      </c>
      <c r="AI62" s="67">
        <f>R62*u_healthy+S62*u_early+T62*u_advanced</f>
        <v>12819.735632331774</v>
      </c>
      <c r="AJ62" s="69">
        <f>1/(1+disc_costs)^A62</f>
        <v>0.20875029150899857</v>
      </c>
      <c r="AK62" s="69">
        <f>1/(1+disc_effects)^A62</f>
        <v>0.20875029150899857</v>
      </c>
      <c r="AL62" s="68">
        <f>AG62*AJ62</f>
        <v>431104.8350044166</v>
      </c>
      <c r="AM62" s="67">
        <f>AI62*AK62</f>
        <v>2676.123550317554</v>
      </c>
      <c r="AN62" s="67">
        <f>AH62*AK62</f>
        <v>2982.543101561153</v>
      </c>
      <c r="AO62" s="64" t="str">
        <f>IF(AND(ABS(V62+U62-cohort_size)&lt;0.000001*cohort_size,MIN(I62:Q62)&gt;=0,MAX(I62:Q62)&lt;=1),"OK","CHECK")</f>
        <v>OK</v>
      </c>
    </row>
    <row r="63">
      <c r="A63" s="63">
        <f>A62+1</f>
        <v>54.0</v>
      </c>
      <c r="B63" s="63">
        <f>start_age+A63</f>
        <v>94.0</v>
      </c>
      <c r="C63" s="64" t="str">
        <f>INDEX(age_band_label,MATCH(B63,age_band_start,1))</f>
        <v>90-94</v>
      </c>
      <c r="D63" s="65">
        <f>INDEX(p_background_death,MATCH(B63,age_band_start,1))</f>
        <v>0.18</v>
      </c>
      <c r="E63" s="65">
        <f>INDEX(p_cancer_onset,MATCH(B63,age_band_start,1))</f>
        <v>0.0024</v>
      </c>
      <c r="F63" s="63">
        <f>IF(AND($B$3="Yes",B63&gt;=$E$3,B63&lt;=$H$3),1,0)</f>
        <v>0.0</v>
      </c>
      <c r="G63" s="66">
        <f>F63*screen_participation</f>
        <v>0.0</v>
      </c>
      <c r="H63" s="65">
        <f>1-(1-p_detect_symptoms)*(1-G63*screen_sensitivity)</f>
        <v>0.09999999999999998</v>
      </c>
      <c r="I63" s="65">
        <f>1-J63-K63</f>
        <v>0.8180320000000001</v>
      </c>
      <c r="J63" s="65">
        <f>(1-D63)*E63</f>
        <v>0.001968</v>
      </c>
      <c r="K63" s="65">
        <f>D63</f>
        <v>0.18</v>
      </c>
      <c r="L63" s="65">
        <f>(1-D63)*H63*p_cure_early</f>
        <v>0.07379999999999999</v>
      </c>
      <c r="M63" s="65">
        <f>(1-D63)*(1-H63)*(1-p_progression)</f>
        <v>0.5535000000000001</v>
      </c>
      <c r="N63" s="65">
        <f>(1-D63)*(H63*(1-p_cure_early)+(1-H63)*p_progression)</f>
        <v>0.1927</v>
      </c>
      <c r="O63" s="65">
        <f>D63</f>
        <v>0.18</v>
      </c>
      <c r="P63" s="65">
        <f>1-Q63</f>
        <v>0.615</v>
      </c>
      <c r="Q63" s="65">
        <f>1-(1-D63)*(1-p_death_advanced)</f>
        <v>0.385</v>
      </c>
      <c r="R63" s="67">
        <f>R62*I62+S62*L62</f>
        <v>11530.770041390188</v>
      </c>
      <c r="S63" s="67">
        <f>R62*J62+S62*M62</f>
        <v>85.53853810923661</v>
      </c>
      <c r="T63" s="67">
        <f>S62*N62+T62*P62</f>
        <v>79.68193451932922</v>
      </c>
      <c r="U63" s="67">
        <f>U62+R62*K62+S62*O62+T62*Q62</f>
        <v>88304.00948598124</v>
      </c>
      <c r="V63" s="67">
        <f>R63+S63+T63</f>
        <v>11695.990514018753</v>
      </c>
      <c r="W63" s="67">
        <f>R63*J63</f>
        <v>22.69255544145589</v>
      </c>
      <c r="X63" s="67">
        <f>S63*(1-D63)*H63</f>
        <v>7.0141601249574</v>
      </c>
      <c r="Y63" s="67">
        <f>S63*(1-D63)*(1-H63)*p_progression</f>
        <v>15.781860281154156</v>
      </c>
      <c r="Z63" s="67">
        <f>X63+Y63</f>
        <v>22.796020406111555</v>
      </c>
      <c r="AA63" s="67">
        <f>T63*(1-D63)*p_death_advanced</f>
        <v>16.33479657646249</v>
      </c>
      <c r="AB63" s="67">
        <f>(R63+S63)*G63</f>
        <v>0.0</v>
      </c>
      <c r="AC63" s="67">
        <f>G63*(R63*(1-screen_specificity)+S63*screen_sensitivity)</f>
        <v>0.0</v>
      </c>
      <c r="AD63" s="68">
        <f>AB63*cost_screen_test+AC63*cost_followup_test</f>
        <v>0.0</v>
      </c>
      <c r="AE63" s="68">
        <f>X63*cost_early_treatment</f>
        <v>105212.401874361</v>
      </c>
      <c r="AF63" s="68">
        <f>T63*cost_advanced_year</f>
        <v>1593638.6903865843</v>
      </c>
      <c r="AG63" s="68">
        <f>AD63+AE63+AF63</f>
        <v>1698851.0922609454</v>
      </c>
      <c r="AH63" s="67">
        <f>V63</f>
        <v>11695.990514018753</v>
      </c>
      <c r="AI63" s="67">
        <f>R63*u_healthy+S63*u_early+T63*u_advanced</f>
        <v>10494.22585862965</v>
      </c>
      <c r="AJ63" s="69">
        <f>1/(1+disc_costs)^A63</f>
        <v>0.20267018593106656</v>
      </c>
      <c r="AK63" s="69">
        <f>1/(1+disc_effects)^A63</f>
        <v>0.20267018593106656</v>
      </c>
      <c r="AL63" s="68">
        <f>AG63*AJ63</f>
        <v>344306.4667377213</v>
      </c>
      <c r="AM63" s="67">
        <f>AI63*AK63</f>
        <v>2126.866705971078</v>
      </c>
      <c r="AN63" s="67">
        <f>AH63*AK63</f>
        <v>2370.4285721241713</v>
      </c>
      <c r="AO63" s="64" t="str">
        <f>IF(AND(ABS(V63+U63-cohort_size)&lt;0.000001*cohort_size,MIN(I63:Q63)&gt;=0,MAX(I63:Q63)&lt;=1),"OK","CHECK")</f>
        <v>OK</v>
      </c>
    </row>
    <row r="64">
      <c r="A64" s="63">
        <f>A63+1</f>
        <v>55.0</v>
      </c>
      <c r="B64" s="63">
        <f>start_age+A64</f>
        <v>95.0</v>
      </c>
      <c r="C64" s="64" t="str">
        <f>INDEX(age_band_label,MATCH(B64,age_band_start,1))</f>
        <v>95-99</v>
      </c>
      <c r="D64" s="65">
        <f>INDEX(p_background_death,MATCH(B64,age_band_start,1))</f>
        <v>0.29</v>
      </c>
      <c r="E64" s="65">
        <f>INDEX(p_cancer_onset,MATCH(B64,age_band_start,1))</f>
        <v>0.0024</v>
      </c>
      <c r="F64" s="63">
        <f>IF(AND($B$3="Yes",B64&gt;=$E$3,B64&lt;=$H$3),1,0)</f>
        <v>0.0</v>
      </c>
      <c r="G64" s="66">
        <f>F64*screen_participation</f>
        <v>0.0</v>
      </c>
      <c r="H64" s="65">
        <f>1-(1-p_detect_symptoms)*(1-G64*screen_sensitivity)</f>
        <v>0.09999999999999998</v>
      </c>
      <c r="I64" s="65">
        <f>1-J64-K64</f>
        <v>0.708296</v>
      </c>
      <c r="J64" s="65">
        <f>(1-D64)*E64</f>
        <v>0.0017039999999999998</v>
      </c>
      <c r="K64" s="65">
        <f>D64</f>
        <v>0.29</v>
      </c>
      <c r="L64" s="65">
        <f>(1-D64)*H64*p_cure_early</f>
        <v>0.06389999999999998</v>
      </c>
      <c r="M64" s="65">
        <f>(1-D64)*(1-H64)*(1-p_progression)</f>
        <v>0.47925</v>
      </c>
      <c r="N64" s="65">
        <f>(1-D64)*(H64*(1-p_cure_early)+(1-H64)*p_progression)</f>
        <v>0.16684999999999997</v>
      </c>
      <c r="O64" s="65">
        <f>D64</f>
        <v>0.29</v>
      </c>
      <c r="P64" s="65">
        <f>1-Q64</f>
        <v>0.5325</v>
      </c>
      <c r="Q64" s="65">
        <f>1-(1-D64)*(1-p_death_advanced)</f>
        <v>0.4675</v>
      </c>
      <c r="R64" s="67">
        <f>R63*I63+S63*L63</f>
        <v>9438.85162261096</v>
      </c>
      <c r="S64" s="67">
        <f>R63*J63+S63*M63</f>
        <v>70.03813628491837</v>
      </c>
      <c r="T64" s="67">
        <f>S63*N63+T63*P63</f>
        <v>65.48766602303736</v>
      </c>
      <c r="U64" s="67">
        <f>U63+R63*K63+S63*O63+T63*Q63</f>
        <v>90425.62257508107</v>
      </c>
      <c r="V64" s="67">
        <f>R64+S64+T64</f>
        <v>9574.377424918915</v>
      </c>
      <c r="W64" s="67">
        <f>R64*J64</f>
        <v>16.083803164929076</v>
      </c>
      <c r="X64" s="67">
        <f>S64*(1-D64)*H64</f>
        <v>4.972707676229202</v>
      </c>
      <c r="Y64" s="67">
        <f>S64*(1-D64)*(1-H64)*p_progression</f>
        <v>11.188592271515708</v>
      </c>
      <c r="Z64" s="67">
        <f>X64+Y64</f>
        <v>16.161299947744908</v>
      </c>
      <c r="AA64" s="67">
        <f>T64*(1-D64)*p_death_advanced</f>
        <v>11.624060719089131</v>
      </c>
      <c r="AB64" s="67">
        <f>(R64+S64)*G64</f>
        <v>0.0</v>
      </c>
      <c r="AC64" s="67">
        <f>G64*(R64*(1-screen_specificity)+S64*screen_sensitivity)</f>
        <v>0.0</v>
      </c>
      <c r="AD64" s="68">
        <f>AB64*cost_screen_test+AC64*cost_followup_test</f>
        <v>0.0</v>
      </c>
      <c r="AE64" s="68">
        <f>X64*cost_early_treatment</f>
        <v>74590.61514343803</v>
      </c>
      <c r="AF64" s="68">
        <f>T64*cost_advanced_year</f>
        <v>1309753.3204607472</v>
      </c>
      <c r="AG64" s="68">
        <f>AD64+AE64+AF64</f>
        <v>1384343.9356041853</v>
      </c>
      <c r="AH64" s="67">
        <f>V64</f>
        <v>9574.377424918915</v>
      </c>
      <c r="AI64" s="67">
        <f>R64*u_healthy+S64*u_early+T64*u_advanced</f>
        <v>8590.517092504715</v>
      </c>
      <c r="AJ64" s="69">
        <f>1/(1+disc_costs)^A64</f>
        <v>0.19676717080686074</v>
      </c>
      <c r="AK64" s="69">
        <f>1/(1+disc_effects)^A64</f>
        <v>0.19676717080686074</v>
      </c>
      <c r="AL64" s="68">
        <f>AG64*AJ64</f>
        <v>272393.43963247054</v>
      </c>
      <c r="AM64" s="67">
        <f>AI64*AK64</f>
        <v>1690.331744060132</v>
      </c>
      <c r="AN64" s="67">
        <f>AH64*AK64</f>
        <v>1883.9231581383717</v>
      </c>
      <c r="AO64" s="64" t="str">
        <f>IF(AND(ABS(V64+U64-cohort_size)&lt;0.000001*cohort_size,MIN(I64:Q64)&gt;=0,MAX(I64:Q64)&lt;=1),"OK","CHECK")</f>
        <v>OK</v>
      </c>
    </row>
    <row r="65">
      <c r="A65" s="63">
        <f>A64+1</f>
        <v>56.0</v>
      </c>
      <c r="B65" s="63">
        <f>start_age+A65</f>
        <v>96.0</v>
      </c>
      <c r="C65" s="64" t="str">
        <f>INDEX(age_band_label,MATCH(B65,age_band_start,1))</f>
        <v>95-99</v>
      </c>
      <c r="D65" s="65">
        <f>INDEX(p_background_death,MATCH(B65,age_band_start,1))</f>
        <v>0.29</v>
      </c>
      <c r="E65" s="65">
        <f>INDEX(p_cancer_onset,MATCH(B65,age_band_start,1))</f>
        <v>0.0024</v>
      </c>
      <c r="F65" s="63">
        <f>IF(AND($B$3="Yes",B65&gt;=$E$3,B65&lt;=$H$3),1,0)</f>
        <v>0.0</v>
      </c>
      <c r="G65" s="66">
        <f>F65*screen_participation</f>
        <v>0.0</v>
      </c>
      <c r="H65" s="65">
        <f>1-(1-p_detect_symptoms)*(1-G65*screen_sensitivity)</f>
        <v>0.09999999999999998</v>
      </c>
      <c r="I65" s="65">
        <f>1-J65-K65</f>
        <v>0.708296</v>
      </c>
      <c r="J65" s="65">
        <f>(1-D65)*E65</f>
        <v>0.0017039999999999998</v>
      </c>
      <c r="K65" s="65">
        <f>D65</f>
        <v>0.29</v>
      </c>
      <c r="L65" s="65">
        <f>(1-D65)*H65*p_cure_early</f>
        <v>0.06389999999999998</v>
      </c>
      <c r="M65" s="65">
        <f>(1-D65)*(1-H65)*(1-p_progression)</f>
        <v>0.47925</v>
      </c>
      <c r="N65" s="65">
        <f>(1-D65)*(H65*(1-p_cure_early)+(1-H65)*p_progression)</f>
        <v>0.16684999999999997</v>
      </c>
      <c r="O65" s="65">
        <f>D65</f>
        <v>0.29</v>
      </c>
      <c r="P65" s="65">
        <f>1-Q65</f>
        <v>0.5325</v>
      </c>
      <c r="Q65" s="65">
        <f>1-(1-D65)*(1-p_death_advanced)</f>
        <v>0.4675</v>
      </c>
      <c r="R65" s="67">
        <f>R64*I64+S64*L64</f>
        <v>6689.976285797459</v>
      </c>
      <c r="S65" s="67">
        <f>R64*J64+S64*M64</f>
        <v>49.6495799794762</v>
      </c>
      <c r="T65" s="67">
        <f>S64*N64+T64*P64</f>
        <v>46.55804519640603</v>
      </c>
      <c r="U65" s="67">
        <f>U64+R64*K64+S64*O64+T64*Q64</f>
        <v>93213.81608902664</v>
      </c>
      <c r="V65" s="67">
        <f>R65+S65+T65</f>
        <v>6786.183910973342</v>
      </c>
      <c r="W65" s="67">
        <f>R65*J65</f>
        <v>11.399719590998869</v>
      </c>
      <c r="X65" s="67">
        <f>S65*(1-D65)*H65</f>
        <v>3.5251201785428092</v>
      </c>
      <c r="Y65" s="67">
        <f>S65*(1-D65)*(1-H65)*p_progression</f>
        <v>7.931520401721323</v>
      </c>
      <c r="Z65" s="67">
        <f>X65+Y65</f>
        <v>11.456640580264132</v>
      </c>
      <c r="AA65" s="67">
        <f>T65*(1-D65)*p_death_advanced</f>
        <v>8.26405302236207</v>
      </c>
      <c r="AB65" s="67">
        <f>(R65+S65)*G65</f>
        <v>0.0</v>
      </c>
      <c r="AC65" s="67">
        <f>G65*(R65*(1-screen_specificity)+S65*screen_sensitivity)</f>
        <v>0.0</v>
      </c>
      <c r="AD65" s="68">
        <f>AB65*cost_screen_test+AC65*cost_followup_test</f>
        <v>0.0</v>
      </c>
      <c r="AE65" s="68">
        <f>X65*cost_early_treatment</f>
        <v>52876.802678142136</v>
      </c>
      <c r="AF65" s="68">
        <f>T65*cost_advanced_year</f>
        <v>931160.9039281205</v>
      </c>
      <c r="AG65" s="68">
        <f>AD65+AE65+AF65</f>
        <v>984037.7066062626</v>
      </c>
      <c r="AH65" s="67">
        <f>V65</f>
        <v>6786.183910973342</v>
      </c>
      <c r="AI65" s="67">
        <f>R65*u_healthy+S65*u_early+T65*u_advanced</f>
        <v>6088.7877250582915</v>
      </c>
      <c r="AJ65" s="69">
        <f>1/(1+disc_costs)^A65</f>
        <v>0.19103608816200068</v>
      </c>
      <c r="AK65" s="69">
        <f>1/(1+disc_effects)^A65</f>
        <v>0.19103608816200068</v>
      </c>
      <c r="AL65" s="68">
        <f>AG65*AJ65</f>
        <v>187986.71407396696</v>
      </c>
      <c r="AM65" s="67">
        <f>AI65*AK65</f>
        <v>1163.1781886439433</v>
      </c>
      <c r="AN65" s="67">
        <f>AH65*AK65</f>
        <v>1296.406027900254</v>
      </c>
      <c r="AO65" s="64" t="str">
        <f>IF(AND(ABS(V65+U65-cohort_size)&lt;0.000001*cohort_size,MIN(I65:Q65)&gt;=0,MAX(I65:Q65)&lt;=1),"OK","CHECK")</f>
        <v>OK</v>
      </c>
    </row>
    <row r="66">
      <c r="A66" s="63">
        <f>A65+1</f>
        <v>57.0</v>
      </c>
      <c r="B66" s="63">
        <f>start_age+A66</f>
        <v>97.0</v>
      </c>
      <c r="C66" s="64" t="str">
        <f>INDEX(age_band_label,MATCH(B66,age_band_start,1))</f>
        <v>95-99</v>
      </c>
      <c r="D66" s="65">
        <f>INDEX(p_background_death,MATCH(B66,age_band_start,1))</f>
        <v>0.29</v>
      </c>
      <c r="E66" s="65">
        <f>INDEX(p_cancer_onset,MATCH(B66,age_band_start,1))</f>
        <v>0.0024</v>
      </c>
      <c r="F66" s="63">
        <f>IF(AND($B$3="Yes",B66&gt;=$E$3,B66&lt;=$H$3),1,0)</f>
        <v>0.0</v>
      </c>
      <c r="G66" s="66">
        <f>F66*screen_participation</f>
        <v>0.0</v>
      </c>
      <c r="H66" s="65">
        <f>1-(1-p_detect_symptoms)*(1-G66*screen_sensitivity)</f>
        <v>0.09999999999999998</v>
      </c>
      <c r="I66" s="65">
        <f>1-J66-K66</f>
        <v>0.708296</v>
      </c>
      <c r="J66" s="65">
        <f>(1-D66)*E66</f>
        <v>0.0017039999999999998</v>
      </c>
      <c r="K66" s="65">
        <f>D66</f>
        <v>0.29</v>
      </c>
      <c r="L66" s="65">
        <f>(1-D66)*H66*p_cure_early</f>
        <v>0.06389999999999998</v>
      </c>
      <c r="M66" s="65">
        <f>(1-D66)*(1-H66)*(1-p_progression)</f>
        <v>0.47925</v>
      </c>
      <c r="N66" s="65">
        <f>(1-D66)*(H66*(1-p_cure_early)+(1-H66)*p_progression)</f>
        <v>0.16684999999999997</v>
      </c>
      <c r="O66" s="65">
        <f>D66</f>
        <v>0.29</v>
      </c>
      <c r="P66" s="65">
        <f>1-Q66</f>
        <v>0.5325</v>
      </c>
      <c r="Q66" s="65">
        <f>1-(1-D66)*(1-p_death_advanced)</f>
        <v>0.4675</v>
      </c>
      <c r="R66" s="67">
        <f>R65*I65+S65*L65</f>
        <v>4741.656051485886</v>
      </c>
      <c r="S66" s="67">
        <f>R65*J65+S65*M65</f>
        <v>35.194280796162836</v>
      </c>
      <c r="T66" s="67">
        <f>S65*N65+T65*P65</f>
        <v>33.07619148666181</v>
      </c>
      <c r="U66" s="67">
        <f>U65+R65*K65+S65*O65+T65*Q65</f>
        <v>95190.07347623128</v>
      </c>
      <c r="V66" s="67">
        <f>R66+S66+T66</f>
        <v>4809.9265237687105</v>
      </c>
      <c r="W66" s="67">
        <f>R66*J66</f>
        <v>8.079781911731947</v>
      </c>
      <c r="X66" s="67">
        <f>S66*(1-D66)*H66</f>
        <v>2.4987939365275604</v>
      </c>
      <c r="Y66" s="67">
        <f>S66*(1-D66)*(1-H66)*p_progression</f>
        <v>5.622286357187012</v>
      </c>
      <c r="Z66" s="67">
        <f>X66+Y66</f>
        <v>8.121080293714574</v>
      </c>
      <c r="AA66" s="67">
        <f>T66*(1-D66)*p_death_advanced</f>
        <v>5.871023988882471</v>
      </c>
      <c r="AB66" s="67">
        <f>(R66+S66)*G66</f>
        <v>0.0</v>
      </c>
      <c r="AC66" s="67">
        <f>G66*(R66*(1-screen_specificity)+S66*screen_sensitivity)</f>
        <v>0.0</v>
      </c>
      <c r="AD66" s="68">
        <f>AB66*cost_screen_test+AC66*cost_followup_test</f>
        <v>0.0</v>
      </c>
      <c r="AE66" s="68">
        <f>X66*cost_early_treatment</f>
        <v>37481.9090479134</v>
      </c>
      <c r="AF66" s="68">
        <f>T66*cost_advanced_year</f>
        <v>661523.8297332362</v>
      </c>
      <c r="AG66" s="68">
        <f>AD66+AE66+AF66</f>
        <v>699005.7387811496</v>
      </c>
      <c r="AH66" s="67">
        <f>V66</f>
        <v>4809.9265237687105</v>
      </c>
      <c r="AI66" s="67">
        <f>R66*u_healthy+S66*u_early+T66*u_advanced</f>
        <v>4315.597490331699</v>
      </c>
      <c r="AJ66" s="69">
        <f>1/(1+disc_costs)^A66</f>
        <v>0.1854719302543696</v>
      </c>
      <c r="AK66" s="69">
        <f>1/(1+disc_effects)^A66</f>
        <v>0.1854719302543696</v>
      </c>
      <c r="AL66" s="68">
        <f>AG66*AJ66</f>
        <v>129645.94363062146</v>
      </c>
      <c r="AM66" s="67">
        <f>AI66*AK66</f>
        <v>800.4221967327334</v>
      </c>
      <c r="AN66" s="67">
        <f>AH66*AK66</f>
        <v>892.1063567450726</v>
      </c>
      <c r="AO66" s="64" t="str">
        <f>IF(AND(ABS(V66+U66-cohort_size)&lt;0.000001*cohort_size,MIN(I66:Q66)&gt;=0,MAX(I66:Q66)&lt;=1),"OK","CHECK")</f>
        <v>OK</v>
      </c>
    </row>
    <row r="67">
      <c r="A67" s="63">
        <f>A66+1</f>
        <v>58.0</v>
      </c>
      <c r="B67" s="63">
        <f>start_age+A67</f>
        <v>98.0</v>
      </c>
      <c r="C67" s="64" t="str">
        <f>INDEX(age_band_label,MATCH(B67,age_band_start,1))</f>
        <v>95-99</v>
      </c>
      <c r="D67" s="65">
        <f>INDEX(p_background_death,MATCH(B67,age_band_start,1))</f>
        <v>0.29</v>
      </c>
      <c r="E67" s="65">
        <f>INDEX(p_cancer_onset,MATCH(B67,age_band_start,1))</f>
        <v>0.0024</v>
      </c>
      <c r="F67" s="63">
        <f>IF(AND($B$3="Yes",B67&gt;=$E$3,B67&lt;=$H$3),1,0)</f>
        <v>0.0</v>
      </c>
      <c r="G67" s="66">
        <f>F67*screen_participation</f>
        <v>0.0</v>
      </c>
      <c r="H67" s="65">
        <f>1-(1-p_detect_symptoms)*(1-G67*screen_sensitivity)</f>
        <v>0.09999999999999998</v>
      </c>
      <c r="I67" s="65">
        <f>1-J67-K67</f>
        <v>0.708296</v>
      </c>
      <c r="J67" s="65">
        <f>(1-D67)*E67</f>
        <v>0.0017039999999999998</v>
      </c>
      <c r="K67" s="65">
        <f>D67</f>
        <v>0.29</v>
      </c>
      <c r="L67" s="65">
        <f>(1-D67)*H67*p_cure_early</f>
        <v>0.06389999999999998</v>
      </c>
      <c r="M67" s="65">
        <f>(1-D67)*(1-H67)*(1-p_progression)</f>
        <v>0.47925</v>
      </c>
      <c r="N67" s="65">
        <f>(1-D67)*(H67*(1-p_cure_early)+(1-H67)*p_progression)</f>
        <v>0.16684999999999997</v>
      </c>
      <c r="O67" s="65">
        <f>D67</f>
        <v>0.29</v>
      </c>
      <c r="P67" s="65">
        <f>1-Q67</f>
        <v>0.5325</v>
      </c>
      <c r="Q67" s="65">
        <f>1-(1-D67)*(1-p_death_advanced)</f>
        <v>0.4675</v>
      </c>
      <c r="R67" s="67">
        <f>R66*I66+S66*L66</f>
        <v>3360.744929186122</v>
      </c>
      <c r="S67" s="67">
        <f>R66*J66+S66*M66</f>
        <v>24.946640983292987</v>
      </c>
      <c r="T67" s="67">
        <f>S66*N66+T66*P66</f>
        <v>23.48523771748718</v>
      </c>
      <c r="U67" s="67">
        <f>U66+R66*K66+S66*O66+T66*Q66</f>
        <v>96590.8231921131</v>
      </c>
      <c r="V67" s="67">
        <f>R67+S67+T67</f>
        <v>3409.176807886902</v>
      </c>
      <c r="W67" s="67">
        <f>R67*J67</f>
        <v>5.726709359333151</v>
      </c>
      <c r="X67" s="67">
        <f>S67*(1-D67)*H67</f>
        <v>1.7712115098138017</v>
      </c>
      <c r="Y67" s="67">
        <f>S67*(1-D67)*(1-H67)*p_progression</f>
        <v>3.985225897081055</v>
      </c>
      <c r="Z67" s="67">
        <f>X67+Y67</f>
        <v>5.7564374068948565</v>
      </c>
      <c r="AA67" s="67">
        <f>T67*(1-D67)*p_death_advanced</f>
        <v>4.1686296948539745</v>
      </c>
      <c r="AB67" s="67">
        <f>(R67+S67)*G67</f>
        <v>0.0</v>
      </c>
      <c r="AC67" s="67">
        <f>G67*(R67*(1-screen_specificity)+S67*screen_sensitivity)</f>
        <v>0.0</v>
      </c>
      <c r="AD67" s="68">
        <f>AB67*cost_screen_test+AC67*cost_followup_test</f>
        <v>0.0</v>
      </c>
      <c r="AE67" s="68">
        <f>X67*cost_early_treatment</f>
        <v>26568.172647207026</v>
      </c>
      <c r="AF67" s="68">
        <f>T67*cost_advanced_year</f>
        <v>469704.7543497436</v>
      </c>
      <c r="AG67" s="68">
        <f>AD67+AE67+AF67</f>
        <v>496272.92699695064</v>
      </c>
      <c r="AH67" s="67">
        <f>V67</f>
        <v>3409.176807886902</v>
      </c>
      <c r="AI67" s="67">
        <f>R67*u_healthy+S67*u_early+T67*u_advanced</f>
        <v>3058.7919618479273</v>
      </c>
      <c r="AJ67" s="69">
        <f>1/(1+disc_costs)^A67</f>
        <v>0.1800698351984171</v>
      </c>
      <c r="AK67" s="69">
        <f>1/(1+disc_effects)^A67</f>
        <v>0.1800698351984171</v>
      </c>
      <c r="AL67" s="68">
        <f>AG67*AJ67</f>
        <v>89363.78417777698</v>
      </c>
      <c r="AM67" s="67">
        <f>AI67*AK67</f>
        <v>550.7961644761992</v>
      </c>
      <c r="AN67" s="67">
        <f>AH67*AK67</f>
        <v>613.8899059584602</v>
      </c>
      <c r="AO67" s="64" t="str">
        <f>IF(AND(ABS(V67+U67-cohort_size)&lt;0.000001*cohort_size,MIN(I67:Q67)&gt;=0,MAX(I67:Q67)&lt;=1),"OK","CHECK")</f>
        <v>OK</v>
      </c>
    </row>
    <row r="68">
      <c r="A68" s="63">
        <f>A67+1</f>
        <v>59.0</v>
      </c>
      <c r="B68" s="63">
        <f>start_age+A68</f>
        <v>99.0</v>
      </c>
      <c r="C68" s="64" t="str">
        <f>INDEX(age_band_label,MATCH(B68,age_band_start,1))</f>
        <v>95-99</v>
      </c>
      <c r="D68" s="65">
        <f>INDEX(p_background_death,MATCH(B68,age_band_start,1))</f>
        <v>0.29</v>
      </c>
      <c r="E68" s="65">
        <f>INDEX(p_cancer_onset,MATCH(B68,age_band_start,1))</f>
        <v>0.0024</v>
      </c>
      <c r="F68" s="63">
        <f>IF(AND($B$3="Yes",B68&gt;=$E$3,B68&lt;=$H$3),1,0)</f>
        <v>0.0</v>
      </c>
      <c r="G68" s="66">
        <f>F68*screen_participation</f>
        <v>0.0</v>
      </c>
      <c r="H68" s="65">
        <f>1-(1-p_detect_symptoms)*(1-G68*screen_sensitivity)</f>
        <v>0.09999999999999998</v>
      </c>
      <c r="I68" s="65">
        <f>1-J68-K68</f>
        <v>0.708296</v>
      </c>
      <c r="J68" s="65">
        <f>(1-D68)*E68</f>
        <v>0.0017039999999999998</v>
      </c>
      <c r="K68" s="65">
        <f>D68</f>
        <v>0.29</v>
      </c>
      <c r="L68" s="65">
        <f>(1-D68)*H68*p_cure_early</f>
        <v>0.06389999999999998</v>
      </c>
      <c r="M68" s="65">
        <f>(1-D68)*(1-H68)*(1-p_progression)</f>
        <v>0.47925</v>
      </c>
      <c r="N68" s="65">
        <f>(1-D68)*(H68*(1-p_cure_early)+(1-H68)*p_progression)</f>
        <v>0.16684999999999997</v>
      </c>
      <c r="O68" s="65">
        <f>D68</f>
        <v>0.29</v>
      </c>
      <c r="P68" s="65">
        <f>1-Q68</f>
        <v>0.5325</v>
      </c>
      <c r="Q68" s="65">
        <f>1-(1-D68)*(1-p_death_advanced)</f>
        <v>0.4675</v>
      </c>
      <c r="R68" s="67">
        <f>R67*I67+S67*L67</f>
        <v>2381.996280721646</v>
      </c>
      <c r="S68" s="67">
        <f>R67*J67+S67*M67</f>
        <v>17.682387050576317</v>
      </c>
      <c r="T68" s="67">
        <f>S67*N67+T67*P67</f>
        <v>16.668236132624358</v>
      </c>
      <c r="U68" s="67">
        <f>U67+R67*K67+S67*O67+T67*Q67</f>
        <v>97583.65309609515</v>
      </c>
      <c r="V68" s="67">
        <f>R68+S68+T68</f>
        <v>2416.346903904847</v>
      </c>
      <c r="W68" s="67">
        <f>R68*J68</f>
        <v>4.058921662349684</v>
      </c>
      <c r="X68" s="67">
        <f>S68*(1-D68)*H68</f>
        <v>1.2554494805909182</v>
      </c>
      <c r="Y68" s="67">
        <f>S68*(1-D68)*(1-H68)*p_progression</f>
        <v>2.8247613313295665</v>
      </c>
      <c r="Z68" s="67">
        <f>X68+Y68</f>
        <v>4.080210811920485</v>
      </c>
      <c r="AA68" s="67">
        <f>T68*(1-D68)*p_death_advanced</f>
        <v>2.9586119135408233</v>
      </c>
      <c r="AB68" s="67">
        <f>(R68+S68)*G68</f>
        <v>0.0</v>
      </c>
      <c r="AC68" s="67">
        <f>G68*(R68*(1-screen_specificity)+S68*screen_sensitivity)</f>
        <v>0.0</v>
      </c>
      <c r="AD68" s="68">
        <f>AB68*cost_screen_test+AC68*cost_followup_test</f>
        <v>0.0</v>
      </c>
      <c r="AE68" s="68">
        <f>X68*cost_early_treatment</f>
        <v>18831.742208863772</v>
      </c>
      <c r="AF68" s="68">
        <f>T68*cost_advanced_year</f>
        <v>333364.72265248717</v>
      </c>
      <c r="AG68" s="68">
        <f>AD68+AE68+AF68</f>
        <v>352196.46486135095</v>
      </c>
      <c r="AH68" s="67">
        <f>V68</f>
        <v>2416.346903904847</v>
      </c>
      <c r="AI68" s="67">
        <f>R68*u_healthy+S68*u_early+T68*u_advanced</f>
        <v>2167.994211515415</v>
      </c>
      <c r="AJ68" s="69">
        <f>1/(1+disc_costs)^A68</f>
        <v>0.17482508271690977</v>
      </c>
      <c r="AK68" s="69">
        <f>1/(1+disc_effects)^A68</f>
        <v>0.17482508271690977</v>
      </c>
      <c r="AL68" s="68">
        <f>AG68*AJ68</f>
        <v>61572.776101988886</v>
      </c>
      <c r="AM68" s="67">
        <f>AI68*AK68</f>
        <v>379.019767357964</v>
      </c>
      <c r="AN68" s="67">
        <f>AH68*AK68</f>
        <v>422.4380473479137</v>
      </c>
      <c r="AO68" s="64" t="str">
        <f>IF(AND(ABS(V68+U68-cohort_size)&lt;0.000001*cohort_size,MIN(I68:Q68)&gt;=0,MAX(I68:Q68)&lt;=1),"OK","CHECK")</f>
        <v>OK</v>
      </c>
    </row>
  </sheetData>
  <mergeCells count="10">
    <mergeCell ref="I6:Q6"/>
    <mergeCell ref="AD6:AG6"/>
    <mergeCell ref="AL6:AN6"/>
    <mergeCell ref="D6:H6"/>
    <mergeCell ref="AB6:AC6"/>
    <mergeCell ref="R6:V6"/>
    <mergeCell ref="AH6:AI6"/>
    <mergeCell ref="A6:C6"/>
    <mergeCell ref="W6:AA6"/>
    <mergeCell ref="AJ6:AK6"/>
  </mergeCell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00A9D08E"/>
    <outlinePr summaryBelow="1" summaryRight="1"/>
    <pageSetUpPr/>
  </sheetPr>
  <dimension ref="A1:AO68"/>
  <sheetViews>
    <sheetView workbookViewId="0">
      <pane xSplit="3" ySplit="8" topLeftCell="D9" activePane="bottomRight" state="frozen"/>
      <selection pane="topRight"/>
      <selection pane="bottomLeft"/>
      <selection pane="bottomRight" activeCell="A1" sqref="A1"/>
    </sheetView>
  </sheetViews>
  <sheetFormatPr baseColWidth="8" defaultRowHeight="15"/>
  <cols>
    <col width="16" customWidth="1" min="1" max="1"/>
    <col width="11.5" customWidth="1" min="2" max="2"/>
    <col width="9" customWidth="1" min="3" max="3"/>
    <col width="11.5" customWidth="1" min="4" max="4"/>
    <col width="11.5" customWidth="1" min="5" max="5"/>
    <col width="11.5" customWidth="1" min="6" max="6"/>
    <col width="11.5" customWidth="1" min="7" max="7"/>
    <col width="11.5" customWidth="1" min="8" max="8"/>
    <col width="11.5" customWidth="1" min="9" max="9"/>
    <col width="11.5" customWidth="1" min="10" max="10"/>
    <col width="11.5" customWidth="1" min="11" max="11"/>
    <col width="11.5" customWidth="1" min="12" max="12"/>
    <col width="11.5" customWidth="1" min="13" max="13"/>
    <col width="11.5" customWidth="1" min="14" max="14"/>
    <col width="11.5" customWidth="1" min="15" max="15"/>
    <col width="11.5" customWidth="1" min="16" max="16"/>
    <col width="11.5" customWidth="1" min="17" max="17"/>
    <col width="11.5" customWidth="1" min="18" max="18"/>
    <col width="11.5" customWidth="1" min="19" max="19"/>
    <col width="11.5" customWidth="1" min="20" max="20"/>
    <col width="11.5" customWidth="1" min="21" max="21"/>
    <col width="11.5" customWidth="1" min="22" max="22"/>
    <col width="11.5" customWidth="1" min="23" max="23"/>
    <col width="11.5" customWidth="1" min="24" max="24"/>
    <col width="11.5" customWidth="1" min="25" max="25"/>
    <col width="11.5" customWidth="1" min="26" max="26"/>
    <col width="11.5" customWidth="1" min="27" max="27"/>
    <col width="11.5" customWidth="1" min="28" max="28"/>
    <col width="11.5" customWidth="1" min="29" max="29"/>
    <col width="11.5" customWidth="1" min="30" max="30"/>
    <col width="11.5" customWidth="1" min="31" max="31"/>
    <col width="11.5" customWidth="1" min="32" max="32"/>
    <col width="11.5" customWidth="1" min="33" max="33"/>
    <col width="11.5" customWidth="1" min="34" max="34"/>
    <col width="11.5" customWidth="1" min="35" max="35"/>
    <col width="11.5" customWidth="1" min="36" max="36"/>
    <col width="11.5" customWidth="1" min="37" max="37"/>
    <col width="11.5" customWidth="1" min="38" max="38"/>
    <col width="11.5" customWidth="1" min="39" max="39"/>
    <col width="11.5" customWidth="1" min="40" max="40"/>
    <col width="11.5" customWidth="1" min="41" max="41"/>
  </cols>
  <sheetData>
    <row r="1">
      <c r="A1" s="12" t="str">
        <f>"Markov trace of strategy 3: "&amp;INDEX(strategy_name,3)</f>
        <v>Markov trace of strategy 3: Screening 45-74</v>
      </c>
    </row>
    <row r="2">
      <c r="A2" s="14" t="inlineStr">
        <is>
          <t>Strategy number</t>
        </is>
      </c>
      <c r="B2" s="37" t="n">
        <v>3</v>
      </c>
    </row>
    <row r="3">
      <c r="A3" s="14" t="inlineStr">
        <is>
          <t>Screens?</t>
        </is>
      </c>
      <c r="B3" s="38" t="str">
        <f>INDEX(strategy_screens,$B$2)</f>
        <v>Yes</v>
      </c>
      <c r="D3" s="14" t="inlineStr">
        <is>
          <t>First age screened</t>
        </is>
      </c>
      <c r="E3" s="38">
        <f>INDEX(strategy_first_age,$B$2)</f>
        <v>45.0</v>
      </c>
      <c r="G3" s="14" t="inlineStr">
        <is>
          <t>Last age screened</t>
        </is>
      </c>
      <c r="H3" s="38">
        <f>INDEX(strategy_last_age,$B$2)</f>
        <v>74.0</v>
      </c>
    </row>
    <row r="4">
      <c r="A4" s="13" t="inlineStr">
        <is>
          <t>Each row is one year (one cycle). The people in each state this year (green block) come from last year's row: last year's people x last year's transition matrix (orange block). Hover over a column header to see what it does, or click a cell to read its formula.</t>
        </is>
      </c>
    </row>
    <row r="5">
      <c r="A5" s="13" t="inlineStr">
        <is>
          <t>Costs and QALYs of a year are counted for the people in each state at the start of that year. Row 8 adds up all the years; Results uses those totals.</t>
        </is>
      </c>
    </row>
    <row r="6" ht="30" customHeight="1">
      <c r="A6" s="39" t="inlineStr">
        <is>
          <t>Time</t>
        </is>
      </c>
      <c r="B6" s="40" t="n"/>
      <c r="C6" s="40" t="n"/>
      <c r="D6" s="41" t="inlineStr">
        <is>
          <t>This year's probabilities</t>
        </is>
      </c>
      <c r="E6" s="42" t="n"/>
      <c r="F6" s="42" t="n"/>
      <c r="G6" s="42" t="n"/>
      <c r="H6" s="42" t="n"/>
      <c r="I6" s="43" t="inlineStr">
        <is>
          <t>Transition matrix of this year (row by row)</t>
        </is>
      </c>
      <c r="J6" s="44" t="n"/>
      <c r="K6" s="44" t="n"/>
      <c r="L6" s="44" t="n"/>
      <c r="M6" s="44" t="n"/>
      <c r="N6" s="44" t="n"/>
      <c r="O6" s="44" t="n"/>
      <c r="P6" s="44" t="n"/>
      <c r="Q6" s="44" t="n"/>
      <c r="R6" s="45" t="inlineStr">
        <is>
          <t>Cohort at the start of the year (people)</t>
        </is>
      </c>
      <c r="S6" s="46" t="n"/>
      <c r="T6" s="46" t="n"/>
      <c r="U6" s="46" t="n"/>
      <c r="V6" s="46" t="n"/>
      <c r="W6" s="47" t="inlineStr">
        <is>
          <t>Events during the year (people)</t>
        </is>
      </c>
      <c r="X6" s="48" t="n"/>
      <c r="Y6" s="48" t="n"/>
      <c r="Z6" s="48" t="n"/>
      <c r="AA6" s="48" t="n"/>
      <c r="AB6" s="49" t="inlineStr">
        <is>
          <t>Screening (number)</t>
        </is>
      </c>
      <c r="AC6" s="50" t="n"/>
      <c r="AD6" s="51" t="inlineStr">
        <is>
          <t>Costs of the year (€, not discounted)</t>
        </is>
      </c>
      <c r="AE6" s="52" t="n"/>
      <c r="AF6" s="52" t="n"/>
      <c r="AG6" s="52" t="n"/>
      <c r="AH6" s="53" t="inlineStr">
        <is>
          <t>Health of the year (not discounted)</t>
        </is>
      </c>
      <c r="AI6" s="54" t="n"/>
      <c r="AJ6" s="55" t="inlineStr">
        <is>
          <t>Discounting</t>
        </is>
      </c>
      <c r="AK6" s="56" t="n"/>
      <c r="AL6" s="57" t="inlineStr">
        <is>
          <t>Discounted (what the results use)</t>
        </is>
      </c>
      <c r="AM6" s="58" t="n"/>
      <c r="AN6" s="58" t="n"/>
      <c r="AO6" s="45" t="inlineStr">
        <is>
          <t>Check</t>
        </is>
      </c>
    </row>
    <row r="7" ht="45" customHeight="1">
      <c r="A7" s="19" t="inlineStr">
        <is>
          <t>Cycle (years since start)</t>
        </is>
      </c>
      <c r="B7" s="19" t="inlineStr">
        <is>
          <t>Age</t>
        </is>
      </c>
      <c r="C7" s="19" t="inlineStr">
        <is>
          <t>Age group</t>
        </is>
      </c>
      <c r="D7" s="19" t="inlineStr">
        <is>
          <t>Death from other causes</t>
        </is>
      </c>
      <c r="E7" s="19" t="inlineStr">
        <is>
          <t>Cancer starts (if healthy)</t>
        </is>
      </c>
      <c r="F7" s="19" t="inlineStr">
        <is>
          <t>Screening offered? (1 = yes)</t>
        </is>
      </c>
      <c r="G7" s="19" t="inlineStr">
        <is>
          <t>Screened this year</t>
        </is>
      </c>
      <c r="H7" s="19" t="inlineStr">
        <is>
          <t>Early cancer detected this year</t>
        </is>
      </c>
      <c r="I7" s="19" t="inlineStr">
        <is>
          <t>Healthy → Healthy</t>
        </is>
      </c>
      <c r="J7" s="19" t="inlineStr">
        <is>
          <t>Healthy → Early</t>
        </is>
      </c>
      <c r="K7" s="19" t="inlineStr">
        <is>
          <t>Healthy → Dead</t>
        </is>
      </c>
      <c r="L7" s="19" t="inlineStr">
        <is>
          <t>Early → Healthy</t>
        </is>
      </c>
      <c r="M7" s="19" t="inlineStr">
        <is>
          <t>Early → Early</t>
        </is>
      </c>
      <c r="N7" s="19" t="inlineStr">
        <is>
          <t>Early → Advanced</t>
        </is>
      </c>
      <c r="O7" s="19" t="inlineStr">
        <is>
          <t>Early → Dead</t>
        </is>
      </c>
      <c r="P7" s="19" t="inlineStr">
        <is>
          <t>Advanced → Advanced</t>
        </is>
      </c>
      <c r="Q7" s="19" t="inlineStr">
        <is>
          <t>Advanced → Dead</t>
        </is>
      </c>
      <c r="R7" s="19" t="inlineStr">
        <is>
          <t>Healthy</t>
        </is>
      </c>
      <c r="S7" s="19" t="inlineStr">
        <is>
          <t>Early cancer</t>
        </is>
      </c>
      <c r="T7" s="19" t="inlineStr">
        <is>
          <t>Advanced cancer</t>
        </is>
      </c>
      <c r="U7" s="19" t="inlineStr">
        <is>
          <t>Dead</t>
        </is>
      </c>
      <c r="V7" s="19" t="inlineStr">
        <is>
          <t>Alive</t>
        </is>
      </c>
      <c r="W7" s="19" t="inlineStr">
        <is>
          <t>New cancers</t>
        </is>
      </c>
      <c r="X7" s="19" t="inlineStr">
        <is>
          <t>Diagnosed early</t>
        </is>
      </c>
      <c r="Y7" s="19" t="inlineStr">
        <is>
          <t>Diagnosed advanced</t>
        </is>
      </c>
      <c r="Z7" s="19" t="inlineStr">
        <is>
          <t>All diagnoses</t>
        </is>
      </c>
      <c r="AA7" s="19" t="inlineStr">
        <is>
          <t>Cancer deaths</t>
        </is>
      </c>
      <c r="AB7" s="19" t="inlineStr">
        <is>
          <t>Screening tests</t>
        </is>
      </c>
      <c r="AC7" s="19" t="inlineStr">
        <is>
          <t>Follow-up tests</t>
        </is>
      </c>
      <c r="AD7" s="19" t="inlineStr">
        <is>
          <t>Screening</t>
        </is>
      </c>
      <c r="AE7" s="19" t="inlineStr">
        <is>
          <t>Early treatment</t>
        </is>
      </c>
      <c r="AF7" s="19" t="inlineStr">
        <is>
          <t>Advanced treatment</t>
        </is>
      </c>
      <c r="AG7" s="19" t="inlineStr">
        <is>
          <t>Total cost</t>
        </is>
      </c>
      <c r="AH7" s="19" t="inlineStr">
        <is>
          <t>Life years</t>
        </is>
      </c>
      <c r="AI7" s="19" t="inlineStr">
        <is>
          <t>QALYs</t>
        </is>
      </c>
      <c r="AJ7" s="19" t="inlineStr">
        <is>
          <t>Discount factor (costs)</t>
        </is>
      </c>
      <c r="AK7" s="19" t="inlineStr">
        <is>
          <t>Discount factor (health)</t>
        </is>
      </c>
      <c r="AL7" s="19" t="inlineStr">
        <is>
          <t>Discounted cost</t>
        </is>
      </c>
      <c r="AM7" s="19" t="inlineStr">
        <is>
          <t>Discounted QALYs</t>
        </is>
      </c>
      <c r="AN7" s="19" t="inlineStr">
        <is>
          <t>Discounted life years</t>
        </is>
      </c>
      <c r="AO7" s="19" t="inlineStr">
        <is>
          <t>Check</t>
        </is>
      </c>
    </row>
    <row r="8">
      <c r="A8" s="59" t="inlineStr">
        <is>
          <t>All years</t>
        </is>
      </c>
      <c r="B8" s="60" t="n"/>
      <c r="C8" s="60" t="n"/>
      <c r="D8" s="60" t="n"/>
      <c r="E8" s="60" t="n"/>
      <c r="F8" s="60" t="n"/>
      <c r="G8" s="60" t="n"/>
      <c r="H8" s="60" t="n"/>
      <c r="I8" s="60" t="n"/>
      <c r="J8" s="60" t="n"/>
      <c r="K8" s="60" t="n"/>
      <c r="L8" s="60" t="n"/>
      <c r="M8" s="60" t="n"/>
      <c r="N8" s="60" t="n"/>
      <c r="O8" s="60" t="n"/>
      <c r="P8" s="60" t="n"/>
      <c r="Q8" s="60" t="n"/>
      <c r="R8" s="60" t="n"/>
      <c r="S8" s="60" t="n"/>
      <c r="T8" s="60" t="n"/>
      <c r="U8" s="60" t="n"/>
      <c r="V8" s="60" t="n"/>
      <c r="W8" s="61">
        <f>SUM(W9:W68)</f>
        <v>4724.723966285686</v>
      </c>
      <c r="X8" s="61">
        <f>SUM(X9:X68)</f>
        <v>2462.78663978018</v>
      </c>
      <c r="Y8" s="61">
        <f>SUM(Y9:Y68)</f>
        <v>1719.9954304939854</v>
      </c>
      <c r="Z8" s="61">
        <f>SUM(Z9:Z68)</f>
        <v>4182.782070274166</v>
      </c>
      <c r="AA8" s="61">
        <f>SUM(AA9:AA68)</f>
        <v>1533.0626199372641</v>
      </c>
      <c r="AB8" s="61">
        <f>SUM(AB9:AB68)</f>
        <v>1650576.167160815</v>
      </c>
      <c r="AC8" s="61">
        <f>SUM(AC9:AC68)</f>
        <v>117086.86842886248</v>
      </c>
      <c r="AD8" s="62">
        <f>SUM(AD9:AD68)</f>
        <v>166604153.44368696</v>
      </c>
      <c r="AE8" s="62">
        <f>SUM(AE9:AE68)</f>
        <v>36941799.5967027</v>
      </c>
      <c r="AF8" s="62">
        <f>SUM(AF9:AF68)</f>
        <v>131072574.56552714</v>
      </c>
      <c r="AG8" s="62">
        <f>SUM(AG9:AG68)</f>
        <v>334618527.6059167</v>
      </c>
      <c r="AH8" s="61">
        <f>SUM(AH9:AH68)</f>
        <v>4182023.998617611</v>
      </c>
      <c r="AI8" s="61">
        <f>SUM(AI9:AI68)</f>
        <v>3761034.2202237532</v>
      </c>
      <c r="AJ8" s="60" t="n"/>
      <c r="AK8" s="60" t="n"/>
      <c r="AL8" s="62">
        <f>SUM(AL9:AL68)</f>
        <v>163398060.35017434</v>
      </c>
      <c r="AM8" s="61">
        <f>SUM(AM9:AM68)</f>
        <v>2127225.9341819226</v>
      </c>
      <c r="AN8" s="61">
        <f>SUM(AN9:AN68)</f>
        <v>2364726.721563004</v>
      </c>
      <c r="AO8" s="59" t="str">
        <f>IF(COUNTIF(AO9:AO68,"OK")=60,"OK","CHECK")</f>
        <v>OK</v>
      </c>
    </row>
    <row r="9">
      <c r="A9" s="63" t="n">
        <v>0</v>
      </c>
      <c r="B9" s="63">
        <f>start_age+A9</f>
        <v>40.0</v>
      </c>
      <c r="C9" s="64" t="str">
        <f>INDEX(age_band_label,MATCH(B9,age_band_start,1))</f>
        <v>40-44</v>
      </c>
      <c r="D9" s="65">
        <f>INDEX(p_background_death,MATCH(B9,age_band_start,1))</f>
        <v>0.0015</v>
      </c>
      <c r="E9" s="65">
        <f>INDEX(p_cancer_onset,MATCH(B9,age_band_start,1))</f>
        <v>0.00025</v>
      </c>
      <c r="F9" s="63">
        <f>IF(AND($B$3="Yes",B9&gt;=$E$3,B9&lt;=$H$3),1,0)</f>
        <v>0.0</v>
      </c>
      <c r="G9" s="66">
        <f>F9*screen_participation</f>
        <v>0.0</v>
      </c>
      <c r="H9" s="65">
        <f>1-(1-p_detect_symptoms)*(1-G9*screen_sensitivity)</f>
        <v>0.09999999999999998</v>
      </c>
      <c r="I9" s="65">
        <f>1-J9-K9</f>
        <v>0.998250375</v>
      </c>
      <c r="J9" s="65">
        <f>(1-D9)*E9</f>
        <v>0.000249625</v>
      </c>
      <c r="K9" s="65">
        <f>D9</f>
        <v>0.0015</v>
      </c>
      <c r="L9" s="65">
        <f>(1-D9)*H9*p_cure_early</f>
        <v>0.08986499999999999</v>
      </c>
      <c r="M9" s="65">
        <f>(1-D9)*(1-H9)*(1-p_progression)</f>
        <v>0.6739875000000001</v>
      </c>
      <c r="N9" s="65">
        <f>(1-D9)*(H9*(1-p_cure_early)+(1-H9)*p_progression)</f>
        <v>0.2346475</v>
      </c>
      <c r="O9" s="65">
        <f>D9</f>
        <v>0.0015</v>
      </c>
      <c r="P9" s="65">
        <f>1-Q9</f>
        <v>0.7488750000000001</v>
      </c>
      <c r="Q9" s="65">
        <f>1-(1-D9)*(1-p_death_advanced)</f>
        <v>0.25112499999999993</v>
      </c>
      <c r="R9" s="67">
        <f>cohort_size</f>
        <v>100000.0</v>
      </c>
      <c r="S9" s="67" t="n">
        <v>0</v>
      </c>
      <c r="T9" s="67" t="n">
        <v>0</v>
      </c>
      <c r="U9" s="67" t="n">
        <v>0</v>
      </c>
      <c r="V9" s="67">
        <f>R9+S9+T9</f>
        <v>100000.0</v>
      </c>
      <c r="W9" s="67">
        <f>R9*J9</f>
        <v>24.962500000000002</v>
      </c>
      <c r="X9" s="67">
        <f>S9*(1-D9)*H9</f>
        <v>0.0</v>
      </c>
      <c r="Y9" s="67">
        <f>S9*(1-D9)*(1-H9)*p_progression</f>
        <v>0.0</v>
      </c>
      <c r="Z9" s="67">
        <f>X9+Y9</f>
        <v>0.0</v>
      </c>
      <c r="AA9" s="67">
        <f>T9*(1-D9)*p_death_advanced</f>
        <v>0.0</v>
      </c>
      <c r="AB9" s="67">
        <f>(R9+S9)*G9</f>
        <v>0.0</v>
      </c>
      <c r="AC9" s="67">
        <f>G9*(R9*(1-screen_specificity)+S9*screen_sensitivity)</f>
        <v>0.0</v>
      </c>
      <c r="AD9" s="68">
        <f>AB9*cost_screen_test+AC9*cost_followup_test</f>
        <v>0.0</v>
      </c>
      <c r="AE9" s="68">
        <f>X9*cost_early_treatment</f>
        <v>0.0</v>
      </c>
      <c r="AF9" s="68">
        <f>T9*cost_advanced_year</f>
        <v>0.0</v>
      </c>
      <c r="AG9" s="68">
        <f>AD9+AE9+AF9</f>
        <v>0.0</v>
      </c>
      <c r="AH9" s="67">
        <f>V9</f>
        <v>100000.0</v>
      </c>
      <c r="AI9" s="67">
        <f>R9*u_healthy+S9*u_early+T9*u_advanced</f>
        <v>90000.0</v>
      </c>
      <c r="AJ9" s="69">
        <f>1/(1+disc_costs)^A9</f>
        <v>1.0</v>
      </c>
      <c r="AK9" s="69">
        <f>1/(1+disc_effects)^A9</f>
        <v>1.0</v>
      </c>
      <c r="AL9" s="68">
        <f>AG9*AJ9</f>
        <v>0.0</v>
      </c>
      <c r="AM9" s="67">
        <f>AI9*AK9</f>
        <v>90000.0</v>
      </c>
      <c r="AN9" s="67">
        <f>AH9*AK9</f>
        <v>100000.0</v>
      </c>
      <c r="AO9" s="64" t="str">
        <f>IF(AND(ABS(V9+U9-cohort_size)&lt;0.000001*cohort_size,MIN(I9:Q9)&gt;=0,MAX(I9:Q9)&lt;=1),"OK","CHECK")</f>
        <v>OK</v>
      </c>
    </row>
    <row r="10">
      <c r="A10" s="63">
        <f>A9+1</f>
        <v>1.0</v>
      </c>
      <c r="B10" s="63">
        <f>start_age+A10</f>
        <v>41.0</v>
      </c>
      <c r="C10" s="64" t="str">
        <f>INDEX(age_band_label,MATCH(B10,age_band_start,1))</f>
        <v>40-44</v>
      </c>
      <c r="D10" s="65">
        <f>INDEX(p_background_death,MATCH(B10,age_band_start,1))</f>
        <v>0.0015</v>
      </c>
      <c r="E10" s="65">
        <f>INDEX(p_cancer_onset,MATCH(B10,age_band_start,1))</f>
        <v>0.00025</v>
      </c>
      <c r="F10" s="63">
        <f>IF(AND($B$3="Yes",B10&gt;=$E$3,B10&lt;=$H$3),1,0)</f>
        <v>0.0</v>
      </c>
      <c r="G10" s="66">
        <f>F10*screen_participation</f>
        <v>0.0</v>
      </c>
      <c r="H10" s="65">
        <f>1-(1-p_detect_symptoms)*(1-G10*screen_sensitivity)</f>
        <v>0.09999999999999998</v>
      </c>
      <c r="I10" s="65">
        <f>1-J10-K10</f>
        <v>0.998250375</v>
      </c>
      <c r="J10" s="65">
        <f>(1-D10)*E10</f>
        <v>0.000249625</v>
      </c>
      <c r="K10" s="65">
        <f>D10</f>
        <v>0.0015</v>
      </c>
      <c r="L10" s="65">
        <f>(1-D10)*H10*p_cure_early</f>
        <v>0.08986499999999999</v>
      </c>
      <c r="M10" s="65">
        <f>(1-D10)*(1-H10)*(1-p_progression)</f>
        <v>0.6739875000000001</v>
      </c>
      <c r="N10" s="65">
        <f>(1-D10)*(H10*(1-p_cure_early)+(1-H10)*p_progression)</f>
        <v>0.2346475</v>
      </c>
      <c r="O10" s="65">
        <f>D10</f>
        <v>0.0015</v>
      </c>
      <c r="P10" s="65">
        <f>1-Q10</f>
        <v>0.7488750000000001</v>
      </c>
      <c r="Q10" s="65">
        <f>1-(1-D10)*(1-p_death_advanced)</f>
        <v>0.25112499999999993</v>
      </c>
      <c r="R10" s="67">
        <f>R9*I9+S9*L9</f>
        <v>99825.0375</v>
      </c>
      <c r="S10" s="67">
        <f>R9*J9+S9*M9</f>
        <v>24.962500000000002</v>
      </c>
      <c r="T10" s="67">
        <f>S9*N9+T9*P9</f>
        <v>0.0</v>
      </c>
      <c r="U10" s="67">
        <f>U9+R9*K9+S9*O9+T9*Q9</f>
        <v>150.0</v>
      </c>
      <c r="V10" s="67">
        <f>R10+S10+T10</f>
        <v>99850.0</v>
      </c>
      <c r="W10" s="67">
        <f>R10*J10</f>
        <v>24.9188249859375</v>
      </c>
      <c r="X10" s="67">
        <f>S10*(1-D10)*H10</f>
        <v>2.4925056249999997</v>
      </c>
      <c r="Y10" s="67">
        <f>S10*(1-D10)*(1-H10)*p_progression</f>
        <v>5.608137656250001</v>
      </c>
      <c r="Z10" s="67">
        <f>X10+Y10</f>
        <v>8.10064328125</v>
      </c>
      <c r="AA10" s="67">
        <f>T10*(1-D10)*p_death_advanced</f>
        <v>0.0</v>
      </c>
      <c r="AB10" s="67">
        <f>(R10+S10)*G10</f>
        <v>0.0</v>
      </c>
      <c r="AC10" s="67">
        <f>G10*(R10*(1-screen_specificity)+S10*screen_sensitivity)</f>
        <v>0.0</v>
      </c>
      <c r="AD10" s="68">
        <f>AB10*cost_screen_test+AC10*cost_followup_test</f>
        <v>0.0</v>
      </c>
      <c r="AE10" s="68">
        <f>X10*cost_early_treatment</f>
        <v>37387.584375</v>
      </c>
      <c r="AF10" s="68">
        <f>T10*cost_advanced_year</f>
        <v>0.0</v>
      </c>
      <c r="AG10" s="68">
        <f>AD10+AE10+AF10</f>
        <v>37387.584375</v>
      </c>
      <c r="AH10" s="67">
        <f>V10</f>
        <v>99850.0</v>
      </c>
      <c r="AI10" s="67">
        <f>R10*u_healthy+S10*u_early+T10*u_advanced</f>
        <v>89863.751875</v>
      </c>
      <c r="AJ10" s="69">
        <f>1/(1+disc_costs)^A10</f>
        <v>0.970873786407767</v>
      </c>
      <c r="AK10" s="69">
        <f>1/(1+disc_effects)^A10</f>
        <v>0.970873786407767</v>
      </c>
      <c r="AL10" s="68">
        <f>AG10*AJ10</f>
        <v>36298.625606796115</v>
      </c>
      <c r="AM10" s="67">
        <f>AI10*AK10</f>
        <v>87246.36104368932</v>
      </c>
      <c r="AN10" s="67">
        <f>AH10*AK10</f>
        <v>96941.74757281554</v>
      </c>
      <c r="AO10" s="64" t="str">
        <f>IF(AND(ABS(V10+U10-cohort_size)&lt;0.000001*cohort_size,MIN(I10:Q10)&gt;=0,MAX(I10:Q10)&lt;=1),"OK","CHECK")</f>
        <v>OK</v>
      </c>
    </row>
    <row r="11">
      <c r="A11" s="63">
        <f>A10+1</f>
        <v>2.0</v>
      </c>
      <c r="B11" s="63">
        <f>start_age+A11</f>
        <v>42.0</v>
      </c>
      <c r="C11" s="64" t="str">
        <f>INDEX(age_band_label,MATCH(B11,age_band_start,1))</f>
        <v>40-44</v>
      </c>
      <c r="D11" s="65">
        <f>INDEX(p_background_death,MATCH(B11,age_band_start,1))</f>
        <v>0.0015</v>
      </c>
      <c r="E11" s="65">
        <f>INDEX(p_cancer_onset,MATCH(B11,age_band_start,1))</f>
        <v>0.00025</v>
      </c>
      <c r="F11" s="63">
        <f>IF(AND($B$3="Yes",B11&gt;=$E$3,B11&lt;=$H$3),1,0)</f>
        <v>0.0</v>
      </c>
      <c r="G11" s="66">
        <f>F11*screen_participation</f>
        <v>0.0</v>
      </c>
      <c r="H11" s="65">
        <f>1-(1-p_detect_symptoms)*(1-G11*screen_sensitivity)</f>
        <v>0.09999999999999998</v>
      </c>
      <c r="I11" s="65">
        <f>1-J11-K11</f>
        <v>0.998250375</v>
      </c>
      <c r="J11" s="65">
        <f>(1-D11)*E11</f>
        <v>0.000249625</v>
      </c>
      <c r="K11" s="65">
        <f>D11</f>
        <v>0.0015</v>
      </c>
      <c r="L11" s="65">
        <f>(1-D11)*H11*p_cure_early</f>
        <v>0.08986499999999999</v>
      </c>
      <c r="M11" s="65">
        <f>(1-D11)*(1-H11)*(1-p_progression)</f>
        <v>0.6739875000000001</v>
      </c>
      <c r="N11" s="65">
        <f>(1-D11)*(H11*(1-p_cure_early)+(1-H11)*p_progression)</f>
        <v>0.2346475</v>
      </c>
      <c r="O11" s="65">
        <f>D11</f>
        <v>0.0015</v>
      </c>
      <c r="P11" s="65">
        <f>1-Q11</f>
        <v>0.7488750000000001</v>
      </c>
      <c r="Q11" s="65">
        <f>1-(1-D11)*(1-p_death_advanced)</f>
        <v>0.25112499999999993</v>
      </c>
      <c r="R11" s="67">
        <f>R10*I10+S10*L10</f>
        <v>99652.62437382656</v>
      </c>
      <c r="S11" s="67">
        <f>R10*J10+S10*M10</f>
        <v>41.7432379546875</v>
      </c>
      <c r="T11" s="67">
        <f>S10*N10+T10*P10</f>
        <v>5.857388218750001</v>
      </c>
      <c r="U11" s="67">
        <f>U10+R10*K10+S10*O10+T10*Q10</f>
        <v>299.77500000000003</v>
      </c>
      <c r="V11" s="67">
        <f>R11+S11+T11</f>
        <v>99700.22499999999</v>
      </c>
      <c r="W11" s="67">
        <f>R11*J11</f>
        <v>24.875786359316457</v>
      </c>
      <c r="X11" s="67">
        <f>S11*(1-D11)*H11</f>
        <v>4.1680623097755465</v>
      </c>
      <c r="Y11" s="67">
        <f>S11*(1-D11)*(1-H11)*p_progression</f>
        <v>9.378140196994982</v>
      </c>
      <c r="Z11" s="67">
        <f>X11+Y11</f>
        <v>13.546202506770529</v>
      </c>
      <c r="AA11" s="67">
        <f>T11*(1-D11)*p_death_advanced</f>
        <v>1.462150534105469</v>
      </c>
      <c r="AB11" s="67">
        <f>(R11+S11)*G11</f>
        <v>0.0</v>
      </c>
      <c r="AC11" s="67">
        <f>G11*(R11*(1-screen_specificity)+S11*screen_sensitivity)</f>
        <v>0.0</v>
      </c>
      <c r="AD11" s="68">
        <f>AB11*cost_screen_test+AC11*cost_followup_test</f>
        <v>0.0</v>
      </c>
      <c r="AE11" s="68">
        <f>X11*cost_early_treatment</f>
        <v>62520.9346466332</v>
      </c>
      <c r="AF11" s="68">
        <f>T11*cost_advanced_year</f>
        <v>117147.76437500001</v>
      </c>
      <c r="AG11" s="68">
        <f>AD11+AE11+AF11</f>
        <v>179668.69902163322</v>
      </c>
      <c r="AH11" s="67">
        <f>V11</f>
        <v>99700.22499999999</v>
      </c>
      <c r="AI11" s="67">
        <f>R11*u_healthy+S11*u_early+T11*u_advanced</f>
        <v>89726.06525222572</v>
      </c>
      <c r="AJ11" s="69">
        <f>1/(1+disc_costs)^A11</f>
        <v>0.9425959091337544</v>
      </c>
      <c r="AK11" s="69">
        <f>1/(1+disc_effects)^A11</f>
        <v>0.9425959091337544</v>
      </c>
      <c r="AL11" s="68">
        <f>AG11*AJ11</f>
        <v>169354.98069717526</v>
      </c>
      <c r="AM11" s="67">
        <f>AI11*AK11</f>
        <v>84575.42204941626</v>
      </c>
      <c r="AN11" s="67">
        <f>AH11*AK11</f>
        <v>93977.02422471486</v>
      </c>
      <c r="AO11" s="64" t="str">
        <f>IF(AND(ABS(V11+U11-cohort_size)&lt;0.000001*cohort_size,MIN(I11:Q11)&gt;=0,MAX(I11:Q11)&lt;=1),"OK","CHECK")</f>
        <v>OK</v>
      </c>
    </row>
    <row r="12">
      <c r="A12" s="63">
        <f>A11+1</f>
        <v>3.0</v>
      </c>
      <c r="B12" s="63">
        <f>start_age+A12</f>
        <v>43.0</v>
      </c>
      <c r="C12" s="64" t="str">
        <f>INDEX(age_band_label,MATCH(B12,age_band_start,1))</f>
        <v>40-44</v>
      </c>
      <c r="D12" s="65">
        <f>INDEX(p_background_death,MATCH(B12,age_band_start,1))</f>
        <v>0.0015</v>
      </c>
      <c r="E12" s="65">
        <f>INDEX(p_cancer_onset,MATCH(B12,age_band_start,1))</f>
        <v>0.00025</v>
      </c>
      <c r="F12" s="63">
        <f>IF(AND($B$3="Yes",B12&gt;=$E$3,B12&lt;=$H$3),1,0)</f>
        <v>0.0</v>
      </c>
      <c r="G12" s="66">
        <f>F12*screen_participation</f>
        <v>0.0</v>
      </c>
      <c r="H12" s="65">
        <f>1-(1-p_detect_symptoms)*(1-G12*screen_sensitivity)</f>
        <v>0.09999999999999998</v>
      </c>
      <c r="I12" s="65">
        <f>1-J12-K12</f>
        <v>0.998250375</v>
      </c>
      <c r="J12" s="65">
        <f>(1-D12)*E12</f>
        <v>0.000249625</v>
      </c>
      <c r="K12" s="65">
        <f>D12</f>
        <v>0.0015</v>
      </c>
      <c r="L12" s="65">
        <f>(1-D12)*H12*p_cure_early</f>
        <v>0.08986499999999999</v>
      </c>
      <c r="M12" s="65">
        <f>(1-D12)*(1-H12)*(1-p_progression)</f>
        <v>0.6739875000000001</v>
      </c>
      <c r="N12" s="65">
        <f>(1-D12)*(H12*(1-p_cure_early)+(1-H12)*p_progression)</f>
        <v>0.2346475</v>
      </c>
      <c r="O12" s="65">
        <f>D12</f>
        <v>0.0015</v>
      </c>
      <c r="P12" s="65">
        <f>1-Q12</f>
        <v>0.7488750000000001</v>
      </c>
      <c r="Q12" s="65">
        <f>1-(1-D12)*(1-p_death_advanced)</f>
        <v>0.25112499999999993</v>
      </c>
      <c r="R12" s="67">
        <f>R11*I11+S11*L11</f>
        <v>99482.02090698532</v>
      </c>
      <c r="S12" s="67">
        <f>R11*J11+S11*M11</f>
        <v>53.0102069503014</v>
      </c>
      <c r="T12" s="67">
        <f>S11*N11+T11*P11</f>
        <v>14.181398030288943</v>
      </c>
      <c r="U12" s="67">
        <f>U11+R11*K11+S11*O11+T11*Q11</f>
        <v>450.78748803410554</v>
      </c>
      <c r="V12" s="67">
        <f>R12+S12+T12</f>
        <v>99549.2125119659</v>
      </c>
      <c r="W12" s="67">
        <f>R12*J12</f>
        <v>24.83319946890621</v>
      </c>
      <c r="X12" s="67">
        <f>S12*(1-D12)*H12</f>
        <v>5.293069163987594</v>
      </c>
      <c r="Y12" s="67">
        <f>S12*(1-D12)*(1-H12)*p_progression</f>
        <v>11.90940561897209</v>
      </c>
      <c r="Z12" s="67">
        <f>X12+Y12</f>
        <v>17.202474782959683</v>
      </c>
      <c r="AA12" s="67">
        <f>T12*(1-D12)*p_death_advanced</f>
        <v>3.5400314833108775</v>
      </c>
      <c r="AB12" s="67">
        <f>(R12+S12)*G12</f>
        <v>0.0</v>
      </c>
      <c r="AC12" s="67">
        <f>G12*(R12*(1-screen_specificity)+S12*screen_sensitivity)</f>
        <v>0.0</v>
      </c>
      <c r="AD12" s="68">
        <f>AB12*cost_screen_test+AC12*cost_followup_test</f>
        <v>0.0</v>
      </c>
      <c r="AE12" s="68">
        <f>X12*cost_early_treatment</f>
        <v>79396.03745981392</v>
      </c>
      <c r="AF12" s="68">
        <f>T12*cost_advanced_year</f>
        <v>283627.96060577885</v>
      </c>
      <c r="AG12" s="68">
        <f>AD12+AE12+AF12</f>
        <v>363023.9980655928</v>
      </c>
      <c r="AH12" s="67">
        <f>V12</f>
        <v>99549.2125119659</v>
      </c>
      <c r="AI12" s="67">
        <f>R12*u_healthy+S12*u_early+T12*u_advanced</f>
        <v>89586.67726111121</v>
      </c>
      <c r="AJ12" s="69">
        <f>1/(1+disc_costs)^A12</f>
        <v>0.9151416593531596</v>
      </c>
      <c r="AK12" s="69">
        <f>1/(1+disc_effects)^A12</f>
        <v>0.9151416593531596</v>
      </c>
      <c r="AL12" s="68">
        <f>AG12*AJ12</f>
        <v>332218.3839747648</v>
      </c>
      <c r="AM12" s="67">
        <f>AI12*AK12</f>
        <v>81984.50048466929</v>
      </c>
      <c r="AN12" s="67">
        <f>AH12*AK12</f>
        <v>91101.6315255008</v>
      </c>
      <c r="AO12" s="64" t="str">
        <f>IF(AND(ABS(V12+U12-cohort_size)&lt;0.000001*cohort_size,MIN(I12:Q12)&gt;=0,MAX(I12:Q12)&lt;=1),"OK","CHECK")</f>
        <v>OK</v>
      </c>
    </row>
    <row r="13">
      <c r="A13" s="63">
        <f>A12+1</f>
        <v>4.0</v>
      </c>
      <c r="B13" s="63">
        <f>start_age+A13</f>
        <v>44.0</v>
      </c>
      <c r="C13" s="64" t="str">
        <f>INDEX(age_band_label,MATCH(B13,age_band_start,1))</f>
        <v>40-44</v>
      </c>
      <c r="D13" s="65">
        <f>INDEX(p_background_death,MATCH(B13,age_band_start,1))</f>
        <v>0.0015</v>
      </c>
      <c r="E13" s="65">
        <f>INDEX(p_cancer_onset,MATCH(B13,age_band_start,1))</f>
        <v>0.00025</v>
      </c>
      <c r="F13" s="63">
        <f>IF(AND($B$3="Yes",B13&gt;=$E$3,B13&lt;=$H$3),1,0)</f>
        <v>0.0</v>
      </c>
      <c r="G13" s="66">
        <f>F13*screen_participation</f>
        <v>0.0</v>
      </c>
      <c r="H13" s="65">
        <f>1-(1-p_detect_symptoms)*(1-G13*screen_sensitivity)</f>
        <v>0.09999999999999998</v>
      </c>
      <c r="I13" s="65">
        <f>1-J13-K13</f>
        <v>0.998250375</v>
      </c>
      <c r="J13" s="65">
        <f>(1-D13)*E13</f>
        <v>0.000249625</v>
      </c>
      <c r="K13" s="65">
        <f>D13</f>
        <v>0.0015</v>
      </c>
      <c r="L13" s="65">
        <f>(1-D13)*H13*p_cure_early</f>
        <v>0.08986499999999999</v>
      </c>
      <c r="M13" s="65">
        <f>(1-D13)*(1-H13)*(1-p_progression)</f>
        <v>0.6739875000000001</v>
      </c>
      <c r="N13" s="65">
        <f>(1-D13)*(H13*(1-p_cure_early)+(1-H13)*p_progression)</f>
        <v>0.2346475</v>
      </c>
      <c r="O13" s="65">
        <f>D13</f>
        <v>0.0015</v>
      </c>
      <c r="P13" s="65">
        <f>1-Q13</f>
        <v>0.7488750000000001</v>
      </c>
      <c r="Q13" s="65">
        <f>1-(1-D13)*(1-p_death_advanced)</f>
        <v>0.25112499999999993</v>
      </c>
      <c r="R13" s="67">
        <f>R12*I12+S12*L12</f>
        <v>99312.72843840352</v>
      </c>
      <c r="S13" s="67">
        <f>R12*J12+S12*M12</f>
        <v>60.56141632582248</v>
      </c>
      <c r="T13" s="67">
        <f>S12*N12+T12*P12</f>
        <v>23.058806985303484</v>
      </c>
      <c r="U13" s="67">
        <f>U12+R12*K12+S12*O12+T12*Q12</f>
        <v>603.6513382853653</v>
      </c>
      <c r="V13" s="67">
        <f>R13+S13+T13</f>
        <v>99396.34866171464</v>
      </c>
      <c r="W13" s="67">
        <f>R13*J13</f>
        <v>24.79093983643648</v>
      </c>
      <c r="X13" s="67">
        <f>S13*(1-D13)*H13</f>
        <v>6.047057420133373</v>
      </c>
      <c r="Y13" s="67">
        <f>S13*(1-D13)*(1-H13)*p_progression</f>
        <v>13.605879195300094</v>
      </c>
      <c r="Z13" s="67">
        <f>X13+Y13</f>
        <v>19.652936615433468</v>
      </c>
      <c r="AA13" s="67">
        <f>T13*(1-D13)*p_death_advanced</f>
        <v>5.756054693706383</v>
      </c>
      <c r="AB13" s="67">
        <f>(R13+S13)*G13</f>
        <v>0.0</v>
      </c>
      <c r="AC13" s="67">
        <f>G13*(R13*(1-screen_specificity)+S13*screen_sensitivity)</f>
        <v>0.0</v>
      </c>
      <c r="AD13" s="68">
        <f>AB13*cost_screen_test+AC13*cost_followup_test</f>
        <v>0.0</v>
      </c>
      <c r="AE13" s="68">
        <f>X13*cost_early_treatment</f>
        <v>90705.8613020006</v>
      </c>
      <c r="AF13" s="68">
        <f>T13*cost_advanced_year</f>
        <v>461176.13970606966</v>
      </c>
      <c r="AG13" s="68">
        <f>AD13+AE13+AF13</f>
        <v>551882.0010080703</v>
      </c>
      <c r="AH13" s="67">
        <f>V13</f>
        <v>99396.34866171464</v>
      </c>
      <c r="AI13" s="67">
        <f>R13*u_healthy+S13*u_early+T13*u_advanced</f>
        <v>89445.61514228204</v>
      </c>
      <c r="AJ13" s="69">
        <f>1/(1+disc_costs)^A13</f>
        <v>0.8884870479156888</v>
      </c>
      <c r="AK13" s="69">
        <f>1/(1+disc_effects)^A13</f>
        <v>0.8884870479156888</v>
      </c>
      <c r="AL13" s="68">
        <f>AG13*AJ13</f>
        <v>490340.00987346354</v>
      </c>
      <c r="AM13" s="67">
        <f>AI13*AK13</f>
        <v>79471.270546769</v>
      </c>
      <c r="AN13" s="67">
        <f>AH13*AK13</f>
        <v>88312.36839604536</v>
      </c>
      <c r="AO13" s="64" t="str">
        <f>IF(AND(ABS(V13+U13-cohort_size)&lt;0.000001*cohort_size,MIN(I13:Q13)&gt;=0,MAX(I13:Q13)&lt;=1),"OK","CHECK")</f>
        <v>OK</v>
      </c>
    </row>
    <row r="14">
      <c r="A14" s="63">
        <f>A13+1</f>
        <v>5.0</v>
      </c>
      <c r="B14" s="63">
        <f>start_age+A14</f>
        <v>45.0</v>
      </c>
      <c r="C14" s="64" t="str">
        <f>INDEX(age_band_label,MATCH(B14,age_band_start,1))</f>
        <v>45-49</v>
      </c>
      <c r="D14" s="65">
        <f>INDEX(p_background_death,MATCH(B14,age_band_start,1))</f>
        <v>0.0023</v>
      </c>
      <c r="E14" s="65">
        <f>INDEX(p_cancer_onset,MATCH(B14,age_band_start,1))</f>
        <v>0.00035</v>
      </c>
      <c r="F14" s="63">
        <f>IF(AND($B$3="Yes",B14&gt;=$E$3,B14&lt;=$H$3),1,0)</f>
        <v>1.0</v>
      </c>
      <c r="G14" s="66">
        <f>F14*screen_participation</f>
        <v>0.6</v>
      </c>
      <c r="H14" s="65">
        <f>1-(1-p_detect_symptoms)*(1-G14*screen_sensitivity)</f>
        <v>0.47799999999999987</v>
      </c>
      <c r="I14" s="65">
        <f>1-J14-K14</f>
        <v>0.9973508050000001</v>
      </c>
      <c r="J14" s="65">
        <f>(1-D14)*E14</f>
        <v>0.000349195</v>
      </c>
      <c r="K14" s="65">
        <f>D14</f>
        <v>0.0023</v>
      </c>
      <c r="L14" s="65">
        <f>(1-D14)*H14*p_cure_early</f>
        <v>0.4292105399999999</v>
      </c>
      <c r="M14" s="65">
        <f>(1-D14)*(1-H14)*(1-p_progression)</f>
        <v>0.39059955000000013</v>
      </c>
      <c r="N14" s="65">
        <f>(1-D14)*(H14*(1-p_cure_early)+(1-H14)*p_progression)</f>
        <v>0.17788991</v>
      </c>
      <c r="O14" s="65">
        <f>D14</f>
        <v>0.0023</v>
      </c>
      <c r="P14" s="65">
        <f>1-Q14</f>
        <v>0.748275</v>
      </c>
      <c r="Q14" s="65">
        <f>1-(1-D14)*(1-p_death_advanced)</f>
        <v>0.251725</v>
      </c>
      <c r="R14" s="67">
        <f>R13*I13+S13*L13</f>
        <v>99144.4107575876</v>
      </c>
      <c r="S14" s="67">
        <f>R13*J13+S13*M13</f>
        <v>65.60857742233677</v>
      </c>
      <c r="T14" s="67">
        <f>S13*N13+T13*P13</f>
        <v>31.47874901843258</v>
      </c>
      <c r="U14" s="67">
        <f>U13+R13*K13+S13*O13+T13*Q13</f>
        <v>758.5019159716437</v>
      </c>
      <c r="V14" s="67">
        <f>R14+S14+T14</f>
        <v>99241.49808402837</v>
      </c>
      <c r="W14" s="67">
        <f>R14*J14</f>
        <v>34.6207325144958</v>
      </c>
      <c r="X14" s="67">
        <f>S14*(1-D14)*H14</f>
        <v>31.288769937858852</v>
      </c>
      <c r="Y14" s="67">
        <f>S14*(1-D14)*(1-H14)*p_progression</f>
        <v>8.542226939101637</v>
      </c>
      <c r="Z14" s="67">
        <f>X14+Y14</f>
        <v>39.83099687696049</v>
      </c>
      <c r="AA14" s="67">
        <f>T14*(1-D14)*p_death_advanced</f>
        <v>7.851586973922546</v>
      </c>
      <c r="AB14" s="67">
        <f>(R14+S14)*G14</f>
        <v>59526.01160100596</v>
      </c>
      <c r="AC14" s="67">
        <f>G14*(R14*(1-screen_specificity)+S14*screen_sensitivity)</f>
        <v>4191.620854336057</v>
      </c>
      <c r="AD14" s="68">
        <f>AB14*cost_screen_test+AC14*cost_followup_test</f>
        <v>5977401.202366237</v>
      </c>
      <c r="AE14" s="68">
        <f>X14*cost_early_treatment</f>
        <v>469331.54906788276</v>
      </c>
      <c r="AF14" s="68">
        <f>T14*cost_advanced_year</f>
        <v>629574.9803686516</v>
      </c>
      <c r="AG14" s="68">
        <f>AD14+AE14+AF14</f>
        <v>7076307.731802771</v>
      </c>
      <c r="AH14" s="67">
        <f>V14</f>
        <v>99241.49808402837</v>
      </c>
      <c r="AI14" s="67">
        <f>R14*u_healthy+S14*u_early+T14*u_advanced</f>
        <v>89303.05028459796</v>
      </c>
      <c r="AJ14" s="69">
        <f>1/(1+disc_costs)^A14</f>
        <v>0.8626087843841639</v>
      </c>
      <c r="AK14" s="69">
        <f>1/(1+disc_effects)^A14</f>
        <v>0.8626087843841639</v>
      </c>
      <c r="AL14" s="68">
        <f>AG14*AJ14</f>
        <v>6104085.210458648</v>
      </c>
      <c r="AM14" s="67">
        <f>AI14*AK14</f>
        <v>77033.59564779491</v>
      </c>
      <c r="AN14" s="67">
        <f>AH14*AK14</f>
        <v>85606.58802272704</v>
      </c>
      <c r="AO14" s="64" t="str">
        <f>IF(AND(ABS(V14+U14-cohort_size)&lt;0.000001*cohort_size,MIN(I14:Q14)&gt;=0,MAX(I14:Q14)&lt;=1),"OK","CHECK")</f>
        <v>OK</v>
      </c>
    </row>
    <row r="15">
      <c r="A15" s="63">
        <f>A14+1</f>
        <v>6.0</v>
      </c>
      <c r="B15" s="63">
        <f>start_age+A15</f>
        <v>46.0</v>
      </c>
      <c r="C15" s="64" t="str">
        <f>INDEX(age_band_label,MATCH(B15,age_band_start,1))</f>
        <v>45-49</v>
      </c>
      <c r="D15" s="65">
        <f>INDEX(p_background_death,MATCH(B15,age_band_start,1))</f>
        <v>0.0023</v>
      </c>
      <c r="E15" s="65">
        <f>INDEX(p_cancer_onset,MATCH(B15,age_band_start,1))</f>
        <v>0.00035</v>
      </c>
      <c r="F15" s="63">
        <f>IF(AND($B$3="Yes",B15&gt;=$E$3,B15&lt;=$H$3),1,0)</f>
        <v>1.0</v>
      </c>
      <c r="G15" s="66">
        <f>F15*screen_participation</f>
        <v>0.6</v>
      </c>
      <c r="H15" s="65">
        <f>1-(1-p_detect_symptoms)*(1-G15*screen_sensitivity)</f>
        <v>0.47799999999999987</v>
      </c>
      <c r="I15" s="65">
        <f>1-J15-K15</f>
        <v>0.9973508050000001</v>
      </c>
      <c r="J15" s="65">
        <f>(1-D15)*E15</f>
        <v>0.000349195</v>
      </c>
      <c r="K15" s="65">
        <f>D15</f>
        <v>0.0023</v>
      </c>
      <c r="L15" s="65">
        <f>(1-D15)*H15*p_cure_early</f>
        <v>0.4292105399999999</v>
      </c>
      <c r="M15" s="65">
        <f>(1-D15)*(1-H15)*(1-p_progression)</f>
        <v>0.39059955000000013</v>
      </c>
      <c r="N15" s="65">
        <f>(1-D15)*(H15*(1-p_cure_early)+(1-H15)*p_progression)</f>
        <v>0.17788991</v>
      </c>
      <c r="O15" s="65">
        <f>D15</f>
        <v>0.0023</v>
      </c>
      <c r="P15" s="65">
        <f>1-Q15</f>
        <v>0.748275</v>
      </c>
      <c r="Q15" s="65">
        <f>1-(1-D15)*(1-p_death_advanced)</f>
        <v>0.251725</v>
      </c>
      <c r="R15" s="67">
        <f>R14*I14+S14*L14</f>
        <v>98909.91777327472</v>
      </c>
      <c r="S15" s="67">
        <f>R14*J14+S14*M14</f>
        <v>60.24741333180071</v>
      </c>
      <c r="T15" s="67">
        <f>S14*N14+T14*P14</f>
        <v>35.22586485465516</v>
      </c>
      <c r="U15" s="67">
        <f>U14+R14*K14+S14*O14+T14*Q14</f>
        <v>994.6089485388316</v>
      </c>
      <c r="V15" s="67">
        <f>R15+S15+T15</f>
        <v>99005.39105146118</v>
      </c>
      <c r="W15" s="67">
        <f>R15*J15</f>
        <v>34.538848736838666</v>
      </c>
      <c r="X15" s="67">
        <f>S15*(1-D15)*H15</f>
        <v>28.732027566383753</v>
      </c>
      <c r="Y15" s="67">
        <f>S15*(1-D15)*(1-H15)*p_progression</f>
        <v>7.844204178688455</v>
      </c>
      <c r="Z15" s="67">
        <f>X15+Y15</f>
        <v>36.57623174507221</v>
      </c>
      <c r="AA15" s="67">
        <f>T15*(1-D15)*p_death_advanced</f>
        <v>8.786211341372363</v>
      </c>
      <c r="AB15" s="67">
        <f>(R15+S15)*G15</f>
        <v>59382.09911196391</v>
      </c>
      <c r="AC15" s="67">
        <f>G15*(R15*(1-screen_specificity)+S15*screen_sensitivity)</f>
        <v>4179.520460076891</v>
      </c>
      <c r="AD15" s="68">
        <f>AB15*cost_screen_test+AC15*cost_followup_test</f>
        <v>5960983.433435809</v>
      </c>
      <c r="AE15" s="68">
        <f>X15*cost_early_treatment</f>
        <v>430980.4134957563</v>
      </c>
      <c r="AF15" s="68">
        <f>T15*cost_advanced_year</f>
        <v>704517.2970931032</v>
      </c>
      <c r="AG15" s="68">
        <f>AD15+AE15+AF15</f>
        <v>7096481.144024668</v>
      </c>
      <c r="AH15" s="67">
        <f>V15</f>
        <v>99005.39105146118</v>
      </c>
      <c r="AI15" s="67">
        <f>R15*u_healthy+S15*u_early+T15*u_advanced</f>
        <v>89089.51052294935</v>
      </c>
      <c r="AJ15" s="69">
        <f>1/(1+disc_costs)^A15</f>
        <v>0.8374842566836542</v>
      </c>
      <c r="AK15" s="69">
        <f>1/(1+disc_effects)^A15</f>
        <v>0.8374842566836542</v>
      </c>
      <c r="AL15" s="68">
        <f>AG15*AJ15</f>
        <v>5943191.235973068</v>
      </c>
      <c r="AM15" s="67">
        <f>AI15*AK15</f>
        <v>74611.06249862282</v>
      </c>
      <c r="AN15" s="67">
        <f>AH15*AK15</f>
        <v>82915.45633240747</v>
      </c>
      <c r="AO15" s="64" t="str">
        <f>IF(AND(ABS(V15+U15-cohort_size)&lt;0.000001*cohort_size,MIN(I15:Q15)&gt;=0,MAX(I15:Q15)&lt;=1),"OK","CHECK")</f>
        <v>OK</v>
      </c>
    </row>
    <row r="16">
      <c r="A16" s="63">
        <f>A15+1</f>
        <v>7.0</v>
      </c>
      <c r="B16" s="63">
        <f>start_age+A16</f>
        <v>47.0</v>
      </c>
      <c r="C16" s="64" t="str">
        <f>INDEX(age_band_label,MATCH(B16,age_band_start,1))</f>
        <v>45-49</v>
      </c>
      <c r="D16" s="65">
        <f>INDEX(p_background_death,MATCH(B16,age_band_start,1))</f>
        <v>0.0023</v>
      </c>
      <c r="E16" s="65">
        <f>INDEX(p_cancer_onset,MATCH(B16,age_band_start,1))</f>
        <v>0.00035</v>
      </c>
      <c r="F16" s="63">
        <f>IF(AND($B$3="Yes",B16&gt;=$E$3,B16&lt;=$H$3),1,0)</f>
        <v>1.0</v>
      </c>
      <c r="G16" s="66">
        <f>F16*screen_participation</f>
        <v>0.6</v>
      </c>
      <c r="H16" s="65">
        <f>1-(1-p_detect_symptoms)*(1-G16*screen_sensitivity)</f>
        <v>0.47799999999999987</v>
      </c>
      <c r="I16" s="65">
        <f>1-J16-K16</f>
        <v>0.9973508050000001</v>
      </c>
      <c r="J16" s="65">
        <f>(1-D16)*E16</f>
        <v>0.000349195</v>
      </c>
      <c r="K16" s="65">
        <f>D16</f>
        <v>0.0023</v>
      </c>
      <c r="L16" s="65">
        <f>(1-D16)*H16*p_cure_early</f>
        <v>0.4292105399999999</v>
      </c>
      <c r="M16" s="65">
        <f>(1-D16)*(1-H16)*(1-p_progression)</f>
        <v>0.39059955000000013</v>
      </c>
      <c r="N16" s="65">
        <f>(1-D16)*(H16*(1-p_cure_early)+(1-H16)*p_progression)</f>
        <v>0.17788991</v>
      </c>
      <c r="O16" s="65">
        <f>D16</f>
        <v>0.0023</v>
      </c>
      <c r="P16" s="65">
        <f>1-Q16</f>
        <v>0.748275</v>
      </c>
      <c r="Q16" s="65">
        <f>1-(1-D16)*(1-p_death_advanced)</f>
        <v>0.251725</v>
      </c>
      <c r="R16" s="67">
        <f>R15*I15+S15*L15</f>
        <v>98673.7449384691</v>
      </c>
      <c r="S16" s="67">
        <f>R15*J15+S15*M15</f>
        <v>58.07146127290403</v>
      </c>
      <c r="T16" s="67">
        <f>S15*N15+T15*P15</f>
        <v>37.076040959443915</v>
      </c>
      <c r="U16" s="67">
        <f>U15+R15*K15+S15*O15+T15*Q15</f>
        <v>1231.1075592985646</v>
      </c>
      <c r="V16" s="67">
        <f>R16+S16+T16</f>
        <v>98768.89244070144</v>
      </c>
      <c r="W16" s="67">
        <f>R16*J16</f>
        <v>34.456378363788716</v>
      </c>
      <c r="X16" s="67">
        <f>S16*(1-D16)*H16</f>
        <v>27.694314723924688</v>
      </c>
      <c r="Y16" s="67">
        <f>S16*(1-D16)*(1-H16)*p_progression</f>
        <v>7.560895547012916</v>
      </c>
      <c r="Z16" s="67">
        <f>X16+Y16</f>
        <v>35.2552102709376</v>
      </c>
      <c r="AA16" s="67">
        <f>T16*(1-D16)*p_death_advanced</f>
        <v>9.247691516309299</v>
      </c>
      <c r="AB16" s="67">
        <f>(R16+S16)*G16</f>
        <v>59239.0898398452</v>
      </c>
      <c r="AC16" s="67">
        <f>G16*(R16*(1-screen_specificity)+S16*screen_sensitivity)</f>
        <v>4168.6873011503185</v>
      </c>
      <c r="AD16" s="68">
        <f>AB16*cost_screen_test+AC16*cost_followup_test</f>
        <v>5945859.996345675</v>
      </c>
      <c r="AE16" s="68">
        <f>X16*cost_early_treatment</f>
        <v>415414.7208588703</v>
      </c>
      <c r="AF16" s="68">
        <f>T16*cost_advanced_year</f>
        <v>741520.8191888783</v>
      </c>
      <c r="AG16" s="68">
        <f>AD16+AE16+AF16</f>
        <v>7102795.536393423</v>
      </c>
      <c r="AH16" s="67">
        <f>V16</f>
        <v>98768.89244070144</v>
      </c>
      <c r="AI16" s="67">
        <f>R16*u_healthy+S16*u_early+T16*u_advanced</f>
        <v>88876.12300923187</v>
      </c>
      <c r="AJ16" s="69">
        <f>1/(1+disc_costs)^A16</f>
        <v>0.8130915113433536</v>
      </c>
      <c r="AK16" s="69">
        <f>1/(1+disc_effects)^A16</f>
        <v>0.8130915113433536</v>
      </c>
      <c r="AL16" s="68">
        <f>AG16*AJ16</f>
        <v>5775222.757448954</v>
      </c>
      <c r="AM16" s="67">
        <f>AI16*AK16</f>
        <v>72264.42117991415</v>
      </c>
      <c r="AN16" s="67">
        <f>AH16*AK16</f>
        <v>80308.14802831906</v>
      </c>
      <c r="AO16" s="64" t="str">
        <f>IF(AND(ABS(V16+U16-cohort_size)&lt;0.000001*cohort_size,MIN(I16:Q16)&gt;=0,MAX(I16:Q16)&lt;=1),"OK","CHECK")</f>
        <v>OK</v>
      </c>
    </row>
    <row r="17">
      <c r="A17" s="63">
        <f>A16+1</f>
        <v>8.0</v>
      </c>
      <c r="B17" s="63">
        <f>start_age+A17</f>
        <v>48.0</v>
      </c>
      <c r="C17" s="64" t="str">
        <f>INDEX(age_band_label,MATCH(B17,age_band_start,1))</f>
        <v>45-49</v>
      </c>
      <c r="D17" s="65">
        <f>INDEX(p_background_death,MATCH(B17,age_band_start,1))</f>
        <v>0.0023</v>
      </c>
      <c r="E17" s="65">
        <f>INDEX(p_cancer_onset,MATCH(B17,age_band_start,1))</f>
        <v>0.00035</v>
      </c>
      <c r="F17" s="63">
        <f>IF(AND($B$3="Yes",B17&gt;=$E$3,B17&lt;=$H$3),1,0)</f>
        <v>1.0</v>
      </c>
      <c r="G17" s="66">
        <f>F17*screen_participation</f>
        <v>0.6</v>
      </c>
      <c r="H17" s="65">
        <f>1-(1-p_detect_symptoms)*(1-G17*screen_sensitivity)</f>
        <v>0.47799999999999987</v>
      </c>
      <c r="I17" s="65">
        <f>1-J17-K17</f>
        <v>0.9973508050000001</v>
      </c>
      <c r="J17" s="65">
        <f>(1-D17)*E17</f>
        <v>0.000349195</v>
      </c>
      <c r="K17" s="65">
        <f>D17</f>
        <v>0.0023</v>
      </c>
      <c r="L17" s="65">
        <f>(1-D17)*H17*p_cure_early</f>
        <v>0.4292105399999999</v>
      </c>
      <c r="M17" s="65">
        <f>(1-D17)*(1-H17)*(1-p_progression)</f>
        <v>0.39059955000000013</v>
      </c>
      <c r="N17" s="65">
        <f>(1-D17)*(H17*(1-p_cure_early)+(1-H17)*p_progression)</f>
        <v>0.17788991</v>
      </c>
      <c r="O17" s="65">
        <f>D17</f>
        <v>0.0023</v>
      </c>
      <c r="P17" s="65">
        <f>1-Q17</f>
        <v>0.748275</v>
      </c>
      <c r="Q17" s="65">
        <f>1-(1-D17)*(1-p_death_advanced)</f>
        <v>0.251725</v>
      </c>
      <c r="R17" s="67">
        <f>R16*I16+S16*L16</f>
        <v>98437.26382999837</v>
      </c>
      <c r="S17" s="67">
        <f>R16*J16+S16*M16</f>
        <v>57.139065004827465</v>
      </c>
      <c r="T17" s="67">
        <f>S16*N16+T16*P16</f>
        <v>38.07340156833328</v>
      </c>
      <c r="U17" s="67">
        <f>U16+R16*K16+S16*O16+T16*Q16</f>
        <v>1467.5237034284874</v>
      </c>
      <c r="V17" s="67">
        <f>R17+S17+T17</f>
        <v>98532.47629657152</v>
      </c>
      <c r="W17" s="67">
        <f>R17*J17</f>
        <v>34.37380034311628</v>
      </c>
      <c r="X17" s="67">
        <f>S17*(1-D17)*H17</f>
        <v>27.249654384241214</v>
      </c>
      <c r="Y17" s="67">
        <f>S17*(1-D17)*(1-H17)*p_progression</f>
        <v>7.439497692768787</v>
      </c>
      <c r="Z17" s="67">
        <f>X17+Y17</f>
        <v>34.68915207701</v>
      </c>
      <c r="AA17" s="67">
        <f>T17*(1-D17)*p_death_advanced</f>
        <v>9.49645818618153</v>
      </c>
      <c r="AB17" s="67">
        <f>(R17+S17)*G17</f>
        <v>59096.64173700191</v>
      </c>
      <c r="AC17" s="67">
        <f>G17*(R17*(1-screen_specificity)+S17*screen_sensitivity)</f>
        <v>4158.363488161956</v>
      </c>
      <c r="AD17" s="68">
        <f>AB17*cost_screen_test+AC17*cost_followup_test</f>
        <v>5931262.7402720135</v>
      </c>
      <c r="AE17" s="68">
        <f>X17*cost_early_treatment</f>
        <v>408744.8157636182</v>
      </c>
      <c r="AF17" s="68">
        <f>T17*cost_advanced_year</f>
        <v>761468.0313666656</v>
      </c>
      <c r="AG17" s="68">
        <f>AD17+AE17+AF17</f>
        <v>7101475.587402297</v>
      </c>
      <c r="AH17" s="67">
        <f>V17</f>
        <v>98532.47629657152</v>
      </c>
      <c r="AI17" s="67">
        <f>R17*u_healthy+S17*u_early+T17*u_advanced</f>
        <v>88663.04602311522</v>
      </c>
      <c r="AJ17" s="69">
        <f>1/(1+disc_costs)^A17</f>
        <v>0.7894092343139355</v>
      </c>
      <c r="AK17" s="69">
        <f>1/(1+disc_effects)^A17</f>
        <v>0.7894092343139355</v>
      </c>
      <c r="AL17" s="68">
        <f>AG17*AJ17</f>
        <v>5605970.405950353</v>
      </c>
      <c r="AM17" s="67">
        <f>AI17*AK17</f>
        <v>69991.42727304861</v>
      </c>
      <c r="AN17" s="67">
        <f>AH17*AK17</f>
        <v>77782.44666833253</v>
      </c>
      <c r="AO17" s="64" t="str">
        <f>IF(AND(ABS(V17+U17-cohort_size)&lt;0.000001*cohort_size,MIN(I17:Q17)&gt;=0,MAX(I17:Q17)&lt;=1),"OK","CHECK")</f>
        <v>OK</v>
      </c>
    </row>
    <row r="18">
      <c r="A18" s="63">
        <f>A17+1</f>
        <v>9.0</v>
      </c>
      <c r="B18" s="63">
        <f>start_age+A18</f>
        <v>49.0</v>
      </c>
      <c r="C18" s="64" t="str">
        <f>INDEX(age_band_label,MATCH(B18,age_band_start,1))</f>
        <v>45-49</v>
      </c>
      <c r="D18" s="65">
        <f>INDEX(p_background_death,MATCH(B18,age_band_start,1))</f>
        <v>0.0023</v>
      </c>
      <c r="E18" s="65">
        <f>INDEX(p_cancer_onset,MATCH(B18,age_band_start,1))</f>
        <v>0.00035</v>
      </c>
      <c r="F18" s="63">
        <f>IF(AND($B$3="Yes",B18&gt;=$E$3,B18&lt;=$H$3),1,0)</f>
        <v>1.0</v>
      </c>
      <c r="G18" s="66">
        <f>F18*screen_participation</f>
        <v>0.6</v>
      </c>
      <c r="H18" s="65">
        <f>1-(1-p_detect_symptoms)*(1-G18*screen_sensitivity)</f>
        <v>0.47799999999999987</v>
      </c>
      <c r="I18" s="65">
        <f>1-J18-K18</f>
        <v>0.9973508050000001</v>
      </c>
      <c r="J18" s="65">
        <f>(1-D18)*E18</f>
        <v>0.000349195</v>
      </c>
      <c r="K18" s="65">
        <f>D18</f>
        <v>0.0023</v>
      </c>
      <c r="L18" s="65">
        <f>(1-D18)*H18*p_cure_early</f>
        <v>0.4292105399999999</v>
      </c>
      <c r="M18" s="65">
        <f>(1-D18)*(1-H18)*(1-p_progression)</f>
        <v>0.39059955000000013</v>
      </c>
      <c r="N18" s="65">
        <f>(1-D18)*(H18*(1-p_cure_early)+(1-H18)*p_progression)</f>
        <v>0.17788991</v>
      </c>
      <c r="O18" s="65">
        <f>D18</f>
        <v>0.0023</v>
      </c>
      <c r="P18" s="65">
        <f>1-Q18</f>
        <v>0.748275</v>
      </c>
      <c r="Q18" s="65">
        <f>1-(1-D18)*(1-p_death_advanced)</f>
        <v>0.251725</v>
      </c>
      <c r="R18" s="67">
        <f>R17*I17+S17*L17</f>
        <v>98201.00901179208</v>
      </c>
      <c r="S18" s="67">
        <f>R17*J17+S17*M17</f>
        <v>56.69229342142265</v>
      </c>
      <c r="T18" s="67">
        <f>S17*N17+T17*P17</f>
        <v>38.65383768973749</v>
      </c>
      <c r="U18" s="67">
        <f>U17+R17*K17+S17*O17+T17*Q17</f>
        <v>1703.6448570967834</v>
      </c>
      <c r="V18" s="67">
        <f>R18+S18+T18</f>
        <v>98296.35514290324</v>
      </c>
      <c r="W18" s="67">
        <f>R18*J18</f>
        <v>34.29130134187273</v>
      </c>
      <c r="X18" s="67">
        <f>S18*(1-D18)*H18</f>
        <v>27.036588748052505</v>
      </c>
      <c r="Y18" s="67">
        <f>S18*(1-D18)*(1-H18)*p_progression</f>
        <v>7.381328099625217</v>
      </c>
      <c r="Z18" s="67">
        <f>X18+Y18</f>
        <v>34.41791684767772</v>
      </c>
      <c r="AA18" s="67">
        <f>T18*(1-D18)*p_death_advanced</f>
        <v>9.641233465762774</v>
      </c>
      <c r="AB18" s="67">
        <f>(R18+S18)*G18</f>
        <v>58954.6207831281</v>
      </c>
      <c r="AC18" s="67">
        <f>G18*(R18*(1-screen_specificity)+S18*screen_sensitivity)</f>
        <v>4148.253141732262</v>
      </c>
      <c r="AD18" s="68">
        <f>AB18*cost_screen_test+AC18*cost_followup_test</f>
        <v>5916891.765226104</v>
      </c>
      <c r="AE18" s="68">
        <f>X18*cost_early_treatment</f>
        <v>405548.8312207876</v>
      </c>
      <c r="AF18" s="68">
        <f>T18*cost_advanced_year</f>
        <v>773076.7537947498</v>
      </c>
      <c r="AG18" s="68">
        <f>AD18+AE18+AF18</f>
        <v>7095517.350241642</v>
      </c>
      <c r="AH18" s="67">
        <f>V18</f>
        <v>98296.35514290324</v>
      </c>
      <c r="AI18" s="67">
        <f>R18*u_healthy+S18*u_early+T18*u_advanced</f>
        <v>88450.35617075043</v>
      </c>
      <c r="AJ18" s="69">
        <f>1/(1+disc_costs)^A18</f>
        <v>0.7664167323436267</v>
      </c>
      <c r="AK18" s="69">
        <f>1/(1+disc_effects)^A18</f>
        <v>0.7664167323436267</v>
      </c>
      <c r="AL18" s="68">
        <f>AG18*AJ18</f>
        <v>5438123.221859708</v>
      </c>
      <c r="AM18" s="67">
        <f>AI18*AK18</f>
        <v>67789.83295101648</v>
      </c>
      <c r="AN18" s="67">
        <f>AH18*AK18</f>
        <v>75335.97130991255</v>
      </c>
      <c r="AO18" s="64" t="str">
        <f>IF(AND(ABS(V18+U18-cohort_size)&lt;0.000001*cohort_size,MIN(I18:Q18)&gt;=0,MAX(I18:Q18)&lt;=1),"OK","CHECK")</f>
        <v>OK</v>
      </c>
    </row>
    <row r="19">
      <c r="A19" s="63">
        <f>A18+1</f>
        <v>10.0</v>
      </c>
      <c r="B19" s="63">
        <f>start_age+A19</f>
        <v>50.0</v>
      </c>
      <c r="C19" s="64" t="str">
        <f>INDEX(age_band_label,MATCH(B19,age_band_start,1))</f>
        <v>50-54</v>
      </c>
      <c r="D19" s="65">
        <f>INDEX(p_background_death,MATCH(B19,age_band_start,1))</f>
        <v>0.0036</v>
      </c>
      <c r="E19" s="65">
        <f>INDEX(p_cancer_onset,MATCH(B19,age_band_start,1))</f>
        <v>0.00055</v>
      </c>
      <c r="F19" s="63">
        <f>IF(AND($B$3="Yes",B19&gt;=$E$3,B19&lt;=$H$3),1,0)</f>
        <v>1.0</v>
      </c>
      <c r="G19" s="66">
        <f>F19*screen_participation</f>
        <v>0.6</v>
      </c>
      <c r="H19" s="65">
        <f>1-(1-p_detect_symptoms)*(1-G19*screen_sensitivity)</f>
        <v>0.47799999999999987</v>
      </c>
      <c r="I19" s="65">
        <f>1-J19-K19</f>
        <v>0.99585198</v>
      </c>
      <c r="J19" s="65">
        <f>(1-D19)*E19</f>
        <v>0.00054802</v>
      </c>
      <c r="K19" s="65">
        <f>D19</f>
        <v>0.0036</v>
      </c>
      <c r="L19" s="65">
        <f>(1-D19)*H19*p_cure_early</f>
        <v>0.42865127999999986</v>
      </c>
      <c r="M19" s="65">
        <f>(1-D19)*(1-H19)*(1-p_progression)</f>
        <v>0.39009060000000007</v>
      </c>
      <c r="N19" s="65">
        <f>(1-D19)*(H19*(1-p_cure_early)+(1-H19)*p_progression)</f>
        <v>0.17765812</v>
      </c>
      <c r="O19" s="65">
        <f>D19</f>
        <v>0.0036</v>
      </c>
      <c r="P19" s="65">
        <f>1-Q19</f>
        <v>0.7473</v>
      </c>
      <c r="Q19" s="65">
        <f>1-(1-D19)*(1-p_death_advanced)</f>
        <v>0.25270000000000004</v>
      </c>
      <c r="R19" s="67">
        <f>R18*I18+S18*L18</f>
        <v>97965.18831959633</v>
      </c>
      <c r="S19" s="67">
        <f>R18*J18+S18*M18</f>
        <v>56.43528564074839</v>
      </c>
      <c r="T19" s="67">
        <f>S18*N18+T18*P18</f>
        <v>39.00868737171879</v>
      </c>
      <c r="U19" s="67">
        <f>U18+R18*K18+S18*O18+T18*Q18</f>
        <v>1939.3677073912238</v>
      </c>
      <c r="V19" s="67">
        <f>R19+S19+T19</f>
        <v>98060.6322926088</v>
      </c>
      <c r="W19" s="67">
        <f>R19*J19</f>
        <v>53.68688250290518</v>
      </c>
      <c r="X19" s="67">
        <f>S19*(1-D19)*H19</f>
        <v>26.878952696747124</v>
      </c>
      <c r="Y19" s="67">
        <f>S19*(1-D19)*(1-H19)*p_progression</f>
        <v>7.338291478923643</v>
      </c>
      <c r="Z19" s="67">
        <f>X19+Y19</f>
        <v>34.217244175670764</v>
      </c>
      <c r="AA19" s="67">
        <f>T19*(1-D19)*p_death_advanced</f>
        <v>9.717064024295151</v>
      </c>
      <c r="AB19" s="67">
        <f>(R19+S19)*G19</f>
        <v>58812.974163142244</v>
      </c>
      <c r="AC19" s="67">
        <f>G19*(R19*(1-screen_specificity)+S19*screen_sensitivity)</f>
        <v>4138.240729392157</v>
      </c>
      <c r="AD19" s="68">
        <f>AB19*cost_screen_test+AC19*cost_followup_test</f>
        <v>5902629.954286424</v>
      </c>
      <c r="AE19" s="68">
        <f>X19*cost_early_treatment</f>
        <v>403184.29045120685</v>
      </c>
      <c r="AF19" s="68">
        <f>T19*cost_advanced_year</f>
        <v>780173.7474343758</v>
      </c>
      <c r="AG19" s="68">
        <f>AD19+AE19+AF19</f>
        <v>7085987.992172007</v>
      </c>
      <c r="AH19" s="67">
        <f>V19</f>
        <v>98060.6322926088</v>
      </c>
      <c r="AI19" s="67">
        <f>R19*u_healthy+S19*u_early+T19*u_advanced</f>
        <v>88238.09425848577</v>
      </c>
      <c r="AJ19" s="69">
        <f>1/(1+disc_costs)^A19</f>
        <v>0.7440939148967249</v>
      </c>
      <c r="AK19" s="69">
        <f>1/(1+disc_effects)^A19</f>
        <v>0.7440939148967249</v>
      </c>
      <c r="AL19" s="68">
        <f>AG19*AJ19</f>
        <v>5272640.546006452</v>
      </c>
      <c r="AM19" s="67">
        <f>AI19*AK19</f>
        <v>65657.4289998229</v>
      </c>
      <c r="AN19" s="67">
        <f>AH19*AK19</f>
        <v>72966.31977985549</v>
      </c>
      <c r="AO19" s="64" t="str">
        <f>IF(AND(ABS(V19+U19-cohort_size)&lt;0.000001*cohort_size,MIN(I19:Q19)&gt;=0,MAX(I19:Q19)&lt;=1),"OK","CHECK")</f>
        <v>OK</v>
      </c>
    </row>
    <row r="20">
      <c r="A20" s="63">
        <f>A19+1</f>
        <v>11.0</v>
      </c>
      <c r="B20" s="63">
        <f>start_age+A20</f>
        <v>51.0</v>
      </c>
      <c r="C20" s="64" t="str">
        <f>INDEX(age_band_label,MATCH(B20,age_band_start,1))</f>
        <v>50-54</v>
      </c>
      <c r="D20" s="65">
        <f>INDEX(p_background_death,MATCH(B20,age_band_start,1))</f>
        <v>0.0036</v>
      </c>
      <c r="E20" s="65">
        <f>INDEX(p_cancer_onset,MATCH(B20,age_band_start,1))</f>
        <v>0.00055</v>
      </c>
      <c r="F20" s="63">
        <f>IF(AND($B$3="Yes",B20&gt;=$E$3,B20&lt;=$H$3),1,0)</f>
        <v>1.0</v>
      </c>
      <c r="G20" s="66">
        <f>F20*screen_participation</f>
        <v>0.6</v>
      </c>
      <c r="H20" s="65">
        <f>1-(1-p_detect_symptoms)*(1-G20*screen_sensitivity)</f>
        <v>0.47799999999999987</v>
      </c>
      <c r="I20" s="65">
        <f>1-J20-K20</f>
        <v>0.99585198</v>
      </c>
      <c r="J20" s="65">
        <f>(1-D20)*E20</f>
        <v>0.00054802</v>
      </c>
      <c r="K20" s="65">
        <f>D20</f>
        <v>0.0036</v>
      </c>
      <c r="L20" s="65">
        <f>(1-D20)*H20*p_cure_early</f>
        <v>0.42865127999999986</v>
      </c>
      <c r="M20" s="65">
        <f>(1-D20)*(1-H20)*(1-p_progression)</f>
        <v>0.39009060000000007</v>
      </c>
      <c r="N20" s="65">
        <f>(1-D20)*(H20*(1-p_cure_early)+(1-H20)*p_progression)</f>
        <v>0.17765812</v>
      </c>
      <c r="O20" s="65">
        <f>D20</f>
        <v>0.0036</v>
      </c>
      <c r="P20" s="65">
        <f>1-Q20</f>
        <v>0.7473</v>
      </c>
      <c r="Q20" s="65">
        <f>1-(1-D20)*(1-p_death_advanced)</f>
        <v>0.25270000000000004</v>
      </c>
      <c r="R20" s="67">
        <f>R19*I19+S19*L19</f>
        <v>97583.01781656995</v>
      </c>
      <c r="S20" s="67">
        <f>R19*J19+S19*M19</f>
        <v>75.7017569396761</v>
      </c>
      <c r="T20" s="67">
        <f>S19*N19+T19*P19</f>
        <v>39.177378821483806</v>
      </c>
      <c r="U20" s="67">
        <f>U19+R19*K19+S19*O19+T19*Q19</f>
        <v>2302.1030476689107</v>
      </c>
      <c r="V20" s="67">
        <f>R20+S20+T20</f>
        <v>97697.8969523311</v>
      </c>
      <c r="W20" s="67">
        <f>R20*J20</f>
        <v>53.47744542383666</v>
      </c>
      <c r="X20" s="67">
        <f>S20*(1-D20)*H20</f>
        <v>36.05517223382337</v>
      </c>
      <c r="Y20" s="67">
        <f>S20*(1-D20)*(1-H20)*p_progression</f>
        <v>9.843514595217474</v>
      </c>
      <c r="Z20" s="67">
        <f>X20+Y20</f>
        <v>45.89868682904084</v>
      </c>
      <c r="AA20" s="67">
        <f>T20*(1-D20)*p_death_advanced</f>
        <v>9.759085064431616</v>
      </c>
      <c r="AB20" s="67">
        <f>(R20+S20)*G20</f>
        <v>58595.23174410577</v>
      </c>
      <c r="AC20" s="67">
        <f>G20*(R20*(1-screen_specificity)+S20*screen_sensitivity)</f>
        <v>4130.281486210599</v>
      </c>
      <c r="AD20" s="68">
        <f>AB20*cost_screen_test+AC20*cost_followup_test</f>
        <v>5888138.438533772</v>
      </c>
      <c r="AE20" s="68">
        <f>X20*cost_early_treatment</f>
        <v>540827.5835073505</v>
      </c>
      <c r="AF20" s="68">
        <f>T20*cost_advanced_year</f>
        <v>783547.5764296761</v>
      </c>
      <c r="AG20" s="68">
        <f>AD20+AE20+AF20</f>
        <v>7212513.598470799</v>
      </c>
      <c r="AH20" s="67">
        <f>V20</f>
        <v>97697.8969523311</v>
      </c>
      <c r="AI20" s="67">
        <f>R20*u_healthy+S20*u_early+T20*u_advanced</f>
        <v>87910.6100866635</v>
      </c>
      <c r="AJ20" s="69">
        <f>1/(1+disc_costs)^A20</f>
        <v>0.7224212765987621</v>
      </c>
      <c r="AK20" s="69">
        <f>1/(1+disc_effects)^A20</f>
        <v>0.7224212765987621</v>
      </c>
      <c r="AL20" s="68">
        <f>AG20*AJ20</f>
        <v>5210473.281293206</v>
      </c>
      <c r="AM20" s="67">
        <f>AI20*AK20</f>
        <v>63508.49516538345</v>
      </c>
      <c r="AN20" s="67">
        <f>AH20*AK20</f>
        <v>70579.03943731733</v>
      </c>
      <c r="AO20" s="64" t="str">
        <f>IF(AND(ABS(V20+U20-cohort_size)&lt;0.000001*cohort_size,MIN(I20:Q20)&gt;=0,MAX(I20:Q20)&lt;=1),"OK","CHECK")</f>
        <v>OK</v>
      </c>
    </row>
    <row r="21">
      <c r="A21" s="63">
        <f>A20+1</f>
        <v>12.0</v>
      </c>
      <c r="B21" s="63">
        <f>start_age+A21</f>
        <v>52.0</v>
      </c>
      <c r="C21" s="64" t="str">
        <f>INDEX(age_band_label,MATCH(B21,age_band_start,1))</f>
        <v>50-54</v>
      </c>
      <c r="D21" s="65">
        <f>INDEX(p_background_death,MATCH(B21,age_band_start,1))</f>
        <v>0.0036</v>
      </c>
      <c r="E21" s="65">
        <f>INDEX(p_cancer_onset,MATCH(B21,age_band_start,1))</f>
        <v>0.00055</v>
      </c>
      <c r="F21" s="63">
        <f>IF(AND($B$3="Yes",B21&gt;=$E$3,B21&lt;=$H$3),1,0)</f>
        <v>1.0</v>
      </c>
      <c r="G21" s="66">
        <f>F21*screen_participation</f>
        <v>0.6</v>
      </c>
      <c r="H21" s="65">
        <f>1-(1-p_detect_symptoms)*(1-G21*screen_sensitivity)</f>
        <v>0.47799999999999987</v>
      </c>
      <c r="I21" s="65">
        <f>1-J21-K21</f>
        <v>0.99585198</v>
      </c>
      <c r="J21" s="65">
        <f>(1-D21)*E21</f>
        <v>0.00054802</v>
      </c>
      <c r="K21" s="65">
        <f>D21</f>
        <v>0.0036</v>
      </c>
      <c r="L21" s="65">
        <f>(1-D21)*H21*p_cure_early</f>
        <v>0.42865127999999986</v>
      </c>
      <c r="M21" s="65">
        <f>(1-D21)*(1-H21)*(1-p_progression)</f>
        <v>0.39009060000000007</v>
      </c>
      <c r="N21" s="65">
        <f>(1-D21)*(H21*(1-p_cure_early)+(1-H21)*p_progression)</f>
        <v>0.17765812</v>
      </c>
      <c r="O21" s="65">
        <f>D21</f>
        <v>0.0036</v>
      </c>
      <c r="P21" s="65">
        <f>1-Q21</f>
        <v>0.7473</v>
      </c>
      <c r="Q21" s="65">
        <f>1-(1-D21)*(1-p_death_advanced)</f>
        <v>0.25270000000000004</v>
      </c>
      <c r="R21" s="67">
        <f>R20*I20+S20*L20</f>
        <v>97210.6911620169</v>
      </c>
      <c r="S21" s="67">
        <f>R20*J20+S20*M20</f>
        <v>83.00798920948908</v>
      </c>
      <c r="T21" s="67">
        <f>S20*N20+T20*P20</f>
        <v>42.726287011894655</v>
      </c>
      <c r="U21" s="67">
        <f>U20+R20*K20+S20*O20+T20*Q20</f>
        <v>2663.574561761734</v>
      </c>
      <c r="V21" s="67">
        <f>R21+S21+T21</f>
        <v>97336.4254382383</v>
      </c>
      <c r="W21" s="67">
        <f>R21*J21</f>
        <v>53.2734029706085</v>
      </c>
      <c r="X21" s="67">
        <f>S21*(1-D21)*H21</f>
        <v>39.53497869430408</v>
      </c>
      <c r="Y21" s="67">
        <f>S21*(1-D21)*(1-H21)*p_progression</f>
        <v>10.793545438507708</v>
      </c>
      <c r="Z21" s="67">
        <f>X21+Y21</f>
        <v>50.328524132811786</v>
      </c>
      <c r="AA21" s="67">
        <f>T21*(1-D21)*p_death_advanced</f>
        <v>10.643118094662958</v>
      </c>
      <c r="AB21" s="67">
        <f>(R21+S21)*G21</f>
        <v>58376.219490735835</v>
      </c>
      <c r="AC21" s="67">
        <f>G21*(R21*(1-screen_specificity)+S21*screen_sensitivity)</f>
        <v>4117.712384272692</v>
      </c>
      <c r="AD21" s="68">
        <f>AB21*cost_screen_test+AC21*cost_followup_test</f>
        <v>5868998.968994767</v>
      </c>
      <c r="AE21" s="68">
        <f>X21*cost_early_treatment</f>
        <v>593024.6804145612</v>
      </c>
      <c r="AF21" s="68">
        <f>T21*cost_advanced_year</f>
        <v>854525.7402378931</v>
      </c>
      <c r="AG21" s="68">
        <f>AD21+AE21+AF21</f>
        <v>7316549.389647221</v>
      </c>
      <c r="AH21" s="67">
        <f>V21</f>
        <v>97336.4254382383</v>
      </c>
      <c r="AI21" s="67">
        <f>R21*u_healthy+S21*u_early+T21*u_advanced</f>
        <v>87583.67829449981</v>
      </c>
      <c r="AJ21" s="69">
        <f>1/(1+disc_costs)^A21</f>
        <v>0.7013798801929729</v>
      </c>
      <c r="AK21" s="69">
        <f>1/(1+disc_effects)^A21</f>
        <v>0.7013798801929729</v>
      </c>
      <c r="AL21" s="68">
        <f>AG21*AJ21</f>
        <v>5131680.534336737</v>
      </c>
      <c r="AM21" s="67">
        <f>AI21*AK21</f>
        <v>61429.429789056165</v>
      </c>
      <c r="AN21" s="67">
        <f>AH21*AK21</f>
        <v>68269.81041228381</v>
      </c>
      <c r="AO21" s="64" t="str">
        <f>IF(AND(ABS(V21+U21-cohort_size)&lt;0.000001*cohort_size,MIN(I21:Q21)&gt;=0,MAX(I21:Q21)&lt;=1),"OK","CHECK")</f>
        <v>OK</v>
      </c>
    </row>
    <row r="22">
      <c r="A22" s="63">
        <f>A21+1</f>
        <v>13.0</v>
      </c>
      <c r="B22" s="63">
        <f>start_age+A22</f>
        <v>53.0</v>
      </c>
      <c r="C22" s="64" t="str">
        <f>INDEX(age_band_label,MATCH(B22,age_band_start,1))</f>
        <v>50-54</v>
      </c>
      <c r="D22" s="65">
        <f>INDEX(p_background_death,MATCH(B22,age_band_start,1))</f>
        <v>0.0036</v>
      </c>
      <c r="E22" s="65">
        <f>INDEX(p_cancer_onset,MATCH(B22,age_band_start,1))</f>
        <v>0.00055</v>
      </c>
      <c r="F22" s="63">
        <f>IF(AND($B$3="Yes",B22&gt;=$E$3,B22&lt;=$H$3),1,0)</f>
        <v>1.0</v>
      </c>
      <c r="G22" s="66">
        <f>F22*screen_participation</f>
        <v>0.6</v>
      </c>
      <c r="H22" s="65">
        <f>1-(1-p_detect_symptoms)*(1-G22*screen_sensitivity)</f>
        <v>0.47799999999999987</v>
      </c>
      <c r="I22" s="65">
        <f>1-J22-K22</f>
        <v>0.99585198</v>
      </c>
      <c r="J22" s="65">
        <f>(1-D22)*E22</f>
        <v>0.00054802</v>
      </c>
      <c r="K22" s="65">
        <f>D22</f>
        <v>0.0036</v>
      </c>
      <c r="L22" s="65">
        <f>(1-D22)*H22*p_cure_early</f>
        <v>0.42865127999999986</v>
      </c>
      <c r="M22" s="65">
        <f>(1-D22)*(1-H22)*(1-p_progression)</f>
        <v>0.39009060000000007</v>
      </c>
      <c r="N22" s="65">
        <f>(1-D22)*(H22*(1-p_cure_early)+(1-H22)*p_progression)</f>
        <v>0.17765812</v>
      </c>
      <c r="O22" s="65">
        <f>D22</f>
        <v>0.0036</v>
      </c>
      <c r="P22" s="65">
        <f>1-Q22</f>
        <v>0.7473</v>
      </c>
      <c r="Q22" s="65">
        <f>1-(1-D22)*(1-p_death_advanced)</f>
        <v>0.25270000000000004</v>
      </c>
      <c r="R22" s="67">
        <f>R21*I21+S21*L21</f>
        <v>96843.04075168789</v>
      </c>
      <c r="S22" s="67">
        <f>R21*J21+S21*M21</f>
        <v>85.65403928613162</v>
      </c>
      <c r="T22" s="67">
        <f>S21*N21+T21*P21</f>
        <v>46.67639759192699</v>
      </c>
      <c r="U22" s="67">
        <f>U21+R21*K21+S21*O21+T21*Q21</f>
        <v>3024.6288114340546</v>
      </c>
      <c r="V22" s="67">
        <f>R22+S22+T22</f>
        <v>96975.37118856596</v>
      </c>
      <c r="W22" s="67">
        <f>R22*J22</f>
        <v>53.071923192739995</v>
      </c>
      <c r="X22" s="67">
        <f>S22*(1-D22)*H22</f>
        <v>40.79523730796733</v>
      </c>
      <c r="Y22" s="67">
        <f>S22*(1-D22)*(1-H22)*p_progression</f>
        <v>11.137611859183554</v>
      </c>
      <c r="Z22" s="67">
        <f>X22+Y22</f>
        <v>51.93284916715088</v>
      </c>
      <c r="AA22" s="67">
        <f>T22*(1-D22)*p_death_advanced</f>
        <v>11.627090640149014</v>
      </c>
      <c r="AB22" s="67">
        <f>(R22+S22)*G22</f>
        <v>58157.21687458442</v>
      </c>
      <c r="AC22" s="67">
        <f>G22*(R22*(1-screen_specificity)+S22*screen_sensitivity)</f>
        <v>4103.382408071064</v>
      </c>
      <c r="AD22" s="68">
        <f>AB22*cost_screen_test+AC22*cost_followup_test</f>
        <v>5848098.914308596</v>
      </c>
      <c r="AE22" s="68">
        <f>X22*cost_early_treatment</f>
        <v>611928.5596195098</v>
      </c>
      <c r="AF22" s="68">
        <f>T22*cost_advanced_year</f>
        <v>933527.9518385398</v>
      </c>
      <c r="AG22" s="68">
        <f>AD22+AE22+AF22</f>
        <v>7393555.425766646</v>
      </c>
      <c r="AH22" s="67">
        <f>V22</f>
        <v>96975.37118856596</v>
      </c>
      <c r="AI22" s="67">
        <f>R22*u_healthy+S22*u_early+T22*u_advanced</f>
        <v>87257.21462858788</v>
      </c>
      <c r="AJ22" s="69">
        <f>1/(1+disc_costs)^A22</f>
        <v>0.6809513399931775</v>
      </c>
      <c r="AK22" s="69">
        <f>1/(1+disc_effects)^A22</f>
        <v>0.6809513399931775</v>
      </c>
      <c r="AL22" s="68">
        <f>AG22*AJ22</f>
        <v>5034651.474489626</v>
      </c>
      <c r="AM22" s="67">
        <f>AI22*AK22</f>
        <v>59417.917225409205</v>
      </c>
      <c r="AN22" s="67">
        <f>AH22*AK22</f>
        <v>66035.50895718977</v>
      </c>
      <c r="AO22" s="64" t="str">
        <f>IF(AND(ABS(V22+U22-cohort_size)&lt;0.000001*cohort_size,MIN(I22:Q22)&gt;=0,MAX(I22:Q22)&lt;=1),"OK","CHECK")</f>
        <v>OK</v>
      </c>
    </row>
    <row r="23">
      <c r="A23" s="63">
        <f>A22+1</f>
        <v>14.0</v>
      </c>
      <c r="B23" s="63">
        <f>start_age+A23</f>
        <v>54.0</v>
      </c>
      <c r="C23" s="64" t="str">
        <f>INDEX(age_band_label,MATCH(B23,age_band_start,1))</f>
        <v>50-54</v>
      </c>
      <c r="D23" s="65">
        <f>INDEX(p_background_death,MATCH(B23,age_band_start,1))</f>
        <v>0.0036</v>
      </c>
      <c r="E23" s="65">
        <f>INDEX(p_cancer_onset,MATCH(B23,age_band_start,1))</f>
        <v>0.00055</v>
      </c>
      <c r="F23" s="63">
        <f>IF(AND($B$3="Yes",B23&gt;=$E$3,B23&lt;=$H$3),1,0)</f>
        <v>1.0</v>
      </c>
      <c r="G23" s="66">
        <f>F23*screen_participation</f>
        <v>0.6</v>
      </c>
      <c r="H23" s="65">
        <f>1-(1-p_detect_symptoms)*(1-G23*screen_sensitivity)</f>
        <v>0.47799999999999987</v>
      </c>
      <c r="I23" s="65">
        <f>1-J23-K23</f>
        <v>0.99585198</v>
      </c>
      <c r="J23" s="65">
        <f>(1-D23)*E23</f>
        <v>0.00054802</v>
      </c>
      <c r="K23" s="65">
        <f>D23</f>
        <v>0.0036</v>
      </c>
      <c r="L23" s="65">
        <f>(1-D23)*H23*p_cure_early</f>
        <v>0.42865127999999986</v>
      </c>
      <c r="M23" s="65">
        <f>(1-D23)*(1-H23)*(1-p_progression)</f>
        <v>0.39009060000000007</v>
      </c>
      <c r="N23" s="65">
        <f>(1-D23)*(H23*(1-p_cure_early)+(1-H23)*p_progression)</f>
        <v>0.17765812</v>
      </c>
      <c r="O23" s="65">
        <f>D23</f>
        <v>0.0036</v>
      </c>
      <c r="P23" s="65">
        <f>1-Q23</f>
        <v>0.7473</v>
      </c>
      <c r="Q23" s="65">
        <f>1-(1-D23)*(1-p_death_advanced)</f>
        <v>0.25270000000000004</v>
      </c>
      <c r="R23" s="67">
        <f>R22*I22+S22*L22</f>
        <v>96478.04959536625</v>
      </c>
      <c r="S23" s="67">
        <f>R22*J22+S22*M22</f>
        <v>86.48475877029065</v>
      </c>
      <c r="T23" s="67">
        <f>S22*N22+T22*P22</f>
        <v>50.09840751042733</v>
      </c>
      <c r="U23" s="67">
        <f>U22+R22*K22+S22*O22+T22*Q22</f>
        <v>3385.367238353041</v>
      </c>
      <c r="V23" s="67">
        <f>R23+S23+T23</f>
        <v>96614.63276164696</v>
      </c>
      <c r="W23" s="67">
        <f>R23*J23</f>
        <v>52.87190073925261</v>
      </c>
      <c r="X23" s="67">
        <f>S23*(1-D23)*H23</f>
        <v>41.190891719307004</v>
      </c>
      <c r="Y23" s="67">
        <f>S23*(1-D23)*(1-H23)*p_progression</f>
        <v>11.24563047985265</v>
      </c>
      <c r="Z23" s="67">
        <f>X23+Y23</f>
        <v>52.436522199159654</v>
      </c>
      <c r="AA23" s="67">
        <f>T23*(1-D23)*p_death_advanced</f>
        <v>12.479513310847446</v>
      </c>
      <c r="AB23" s="67">
        <f>(R23+S23)*G23</f>
        <v>57938.72061248193</v>
      </c>
      <c r="AC23" s="67">
        <f>G23*(R23*(1-screen_specificity)+S23*screen_sensitivity)</f>
        <v>4088.4016816889016</v>
      </c>
      <c r="AD23" s="68">
        <f>AB23*cost_screen_test+AC23*cost_followup_test</f>
        <v>5826563.30006336</v>
      </c>
      <c r="AE23" s="68">
        <f>X23*cost_early_treatment</f>
        <v>617863.3757896051</v>
      </c>
      <c r="AF23" s="68">
        <f>T23*cost_advanced_year</f>
        <v>1001968.1502085465</v>
      </c>
      <c r="AG23" s="68">
        <f>AD23+AE23+AF23</f>
        <v>7446394.826061511</v>
      </c>
      <c r="AH23" s="67">
        <f>V23</f>
        <v>96614.63276164696</v>
      </c>
      <c r="AI23" s="67">
        <f>R23*u_healthy+S23*u_early+T23*u_advanced</f>
        <v>86931.31080491512</v>
      </c>
      <c r="AJ23" s="69">
        <f>1/(1+disc_costs)^A23</f>
        <v>0.6611178058186189</v>
      </c>
      <c r="AK23" s="69">
        <f>1/(1+disc_effects)^A23</f>
        <v>0.6611178058186189</v>
      </c>
      <c r="AL23" s="68">
        <f>AG23*AJ23</f>
        <v>4922944.2086649025</v>
      </c>
      <c r="AM23" s="67">
        <f>AI23*AK23</f>
        <v>57471.83745628188</v>
      </c>
      <c r="AN23" s="67">
        <f>AH23*AK23</f>
        <v>63873.65402135169</v>
      </c>
      <c r="AO23" s="64" t="str">
        <f>IF(AND(ABS(V23+U23-cohort_size)&lt;0.000001*cohort_size,MIN(I23:Q23)&gt;=0,MAX(I23:Q23)&lt;=1),"OK","CHECK")</f>
        <v>OK</v>
      </c>
    </row>
    <row r="24">
      <c r="A24" s="63">
        <f>A23+1</f>
        <v>15.0</v>
      </c>
      <c r="B24" s="63">
        <f>start_age+A24</f>
        <v>55.0</v>
      </c>
      <c r="C24" s="64" t="str">
        <f>INDEX(age_band_label,MATCH(B24,age_band_start,1))</f>
        <v>55-59</v>
      </c>
      <c r="D24" s="65">
        <f>INDEX(p_background_death,MATCH(B24,age_band_start,1))</f>
        <v>0.0055</v>
      </c>
      <c r="E24" s="65">
        <f>INDEX(p_cancer_onset,MATCH(B24,age_band_start,1))</f>
        <v>0.0008</v>
      </c>
      <c r="F24" s="63">
        <f>IF(AND($B$3="Yes",B24&gt;=$E$3,B24&lt;=$H$3),1,0)</f>
        <v>1.0</v>
      </c>
      <c r="G24" s="66">
        <f>F24*screen_participation</f>
        <v>0.6</v>
      </c>
      <c r="H24" s="65">
        <f>1-(1-p_detect_symptoms)*(1-G24*screen_sensitivity)</f>
        <v>0.47799999999999987</v>
      </c>
      <c r="I24" s="65">
        <f>1-J24-K24</f>
        <v>0.9937044</v>
      </c>
      <c r="J24" s="65">
        <f>(1-D24)*E24</f>
        <v>0.0007956</v>
      </c>
      <c r="K24" s="65">
        <f>D24</f>
        <v>0.0055</v>
      </c>
      <c r="L24" s="65">
        <f>(1-D24)*H24*p_cure_early</f>
        <v>0.4278338999999999</v>
      </c>
      <c r="M24" s="65">
        <f>(1-D24)*(1-H24)*(1-p_progression)</f>
        <v>0.38934675000000013</v>
      </c>
      <c r="N24" s="65">
        <f>(1-D24)*(H24*(1-p_cure_early)+(1-H24)*p_progression)</f>
        <v>0.17731935000000001</v>
      </c>
      <c r="O24" s="65">
        <f>D24</f>
        <v>0.0055</v>
      </c>
      <c r="P24" s="65">
        <f>1-Q24</f>
        <v>0.7458750000000001</v>
      </c>
      <c r="Q24" s="65">
        <f>1-(1-D24)*(1-p_death_advanced)</f>
        <v>0.25412499999999993</v>
      </c>
      <c r="R24" s="67">
        <f>R23*I23+S23*L23</f>
        <v>96114.92851863104</v>
      </c>
      <c r="S24" s="67">
        <f>R23*J23+S23*M23</f>
        <v>86.60879217881056</v>
      </c>
      <c r="T24" s="67">
        <f>S23*N23+T23*P23</f>
        <v>52.80325958432569</v>
      </c>
      <c r="U24" s="67">
        <f>U23+R23*K23+S23*O23+T23*Q23</f>
        <v>3745.6594296058174</v>
      </c>
      <c r="V24" s="67">
        <f>R24+S24+T24</f>
        <v>96254.34057039418</v>
      </c>
      <c r="W24" s="67">
        <f>R24*J24</f>
        <v>76.46903712942286</v>
      </c>
      <c r="X24" s="67">
        <f>S24*(1-D24)*H24</f>
        <v>41.17130814683335</v>
      </c>
      <c r="Y24" s="67">
        <f>S24*(1-D24)*(1-H24)*p_progression</f>
        <v>11.24028391874844</v>
      </c>
      <c r="Z24" s="67">
        <f>X24+Y24</f>
        <v>52.411592065581786</v>
      </c>
      <c r="AA24" s="67">
        <f>T24*(1-D24)*p_death_advanced</f>
        <v>13.128210414152974</v>
      </c>
      <c r="AB24" s="67">
        <f>(R24+S24)*G24</f>
        <v>57720.922386485916</v>
      </c>
      <c r="AC24" s="67">
        <f>G24*(R24*(1-screen_specificity)+S24*screen_sensitivity)</f>
        <v>4073.202690497601</v>
      </c>
      <c r="AD24" s="68">
        <f>AB24*cost_screen_test+AC24*cost_followup_test</f>
        <v>5804830.362092178</v>
      </c>
      <c r="AE24" s="68">
        <f>X24*cost_early_treatment</f>
        <v>617569.6222025002</v>
      </c>
      <c r="AF24" s="68">
        <f>T24*cost_advanced_year</f>
        <v>1056065.1916865138</v>
      </c>
      <c r="AG24" s="68">
        <f>AD24+AE24+AF24</f>
        <v>7478465.175981193</v>
      </c>
      <c r="AH24" s="67">
        <f>V24</f>
        <v>96254.34057039418</v>
      </c>
      <c r="AI24" s="67">
        <f>R24*u_healthy+S24*u_early+T24*u_advanced</f>
        <v>86606.09493289131</v>
      </c>
      <c r="AJ24" s="69">
        <f>1/(1+disc_costs)^A24</f>
        <v>0.6418619473967174</v>
      </c>
      <c r="AK24" s="69">
        <f>1/(1+disc_effects)^A24</f>
        <v>0.6418619473967174</v>
      </c>
      <c r="AL24" s="68">
        <f>AG24*AJ24</f>
        <v>4800142.221393824</v>
      </c>
      <c r="AM24" s="67">
        <f>AI24*AK24</f>
        <v>55589.1567500506</v>
      </c>
      <c r="AN24" s="67">
        <f>AH24*AK24</f>
        <v>61781.998483900075</v>
      </c>
      <c r="AO24" s="64" t="str">
        <f>IF(AND(ABS(V24+U24-cohort_size)&lt;0.000001*cohort_size,MIN(I24:Q24)&gt;=0,MAX(I24:Q24)&lt;=1),"OK","CHECK")</f>
        <v>OK</v>
      </c>
    </row>
    <row r="25">
      <c r="A25" s="63">
        <f>A24+1</f>
        <v>16.0</v>
      </c>
      <c r="B25" s="63">
        <f>start_age+A25</f>
        <v>56.0</v>
      </c>
      <c r="C25" s="64" t="str">
        <f>INDEX(age_band_label,MATCH(B25,age_band_start,1))</f>
        <v>55-59</v>
      </c>
      <c r="D25" s="65">
        <f>INDEX(p_background_death,MATCH(B25,age_band_start,1))</f>
        <v>0.0055</v>
      </c>
      <c r="E25" s="65">
        <f>INDEX(p_cancer_onset,MATCH(B25,age_band_start,1))</f>
        <v>0.0008</v>
      </c>
      <c r="F25" s="63">
        <f>IF(AND($B$3="Yes",B25&gt;=$E$3,B25&lt;=$H$3),1,0)</f>
        <v>1.0</v>
      </c>
      <c r="G25" s="66">
        <f>F25*screen_participation</f>
        <v>0.6</v>
      </c>
      <c r="H25" s="65">
        <f>1-(1-p_detect_symptoms)*(1-G25*screen_sensitivity)</f>
        <v>0.47799999999999987</v>
      </c>
      <c r="I25" s="65">
        <f>1-J25-K25</f>
        <v>0.9937044</v>
      </c>
      <c r="J25" s="65">
        <f>(1-D25)*E25</f>
        <v>0.0007956</v>
      </c>
      <c r="K25" s="65">
        <f>D25</f>
        <v>0.0055</v>
      </c>
      <c r="L25" s="65">
        <f>(1-D25)*H25*p_cure_early</f>
        <v>0.4278338999999999</v>
      </c>
      <c r="M25" s="65">
        <f>(1-D25)*(1-H25)*(1-p_progression)</f>
        <v>0.38934675000000013</v>
      </c>
      <c r="N25" s="65">
        <f>(1-D25)*(H25*(1-p_cure_early)+(1-H25)*p_progression)</f>
        <v>0.17731935000000001</v>
      </c>
      <c r="O25" s="65">
        <f>D25</f>
        <v>0.0055</v>
      </c>
      <c r="P25" s="65">
        <f>1-Q25</f>
        <v>0.7458750000000001</v>
      </c>
      <c r="Q25" s="65">
        <f>1-(1-D25)*(1-p_death_advanced)</f>
        <v>0.25412499999999993</v>
      </c>
      <c r="R25" s="67">
        <f>R24*I24+S24*L24</f>
        <v>95546.8815519813</v>
      </c>
      <c r="S25" s="67">
        <f>R24*J24+S24*M24</f>
        <v>110.18988888566818</v>
      </c>
      <c r="T25" s="67">
        <f>S24*N24+T24*P24</f>
        <v>54.7420459758907</v>
      </c>
      <c r="U25" s="67">
        <f>U24+R24*K24+S24*O24+T24*Q24</f>
        <v>4288.186513157138</v>
      </c>
      <c r="V25" s="67">
        <f>R25+S25+T25</f>
        <v>95711.81348684286</v>
      </c>
      <c r="W25" s="67">
        <f>R25*J25</f>
        <v>76.01709896275634</v>
      </c>
      <c r="X25" s="67">
        <f>S25*(1-D25)*H25</f>
        <v>52.38107766946896</v>
      </c>
      <c r="Y25" s="67">
        <f>S25*(1-D25)*(1-H25)*p_progression</f>
        <v>14.300691706832014</v>
      </c>
      <c r="Z25" s="67">
        <f>X25+Y25</f>
        <v>66.68176937630098</v>
      </c>
      <c r="AA25" s="67">
        <f>T25*(1-D25)*p_death_advanced</f>
        <v>13.610241180755825</v>
      </c>
      <c r="AB25" s="67">
        <f>(R25+S25)*G25</f>
        <v>57394.24286452018</v>
      </c>
      <c r="AC25" s="67">
        <f>G25*(R25*(1-screen_specificity)+S25*screen_sensitivity)</f>
        <v>4059.2487785151925</v>
      </c>
      <c r="AD25" s="68">
        <f>AB25*cost_screen_test+AC25*cost_followup_test</f>
        <v>5781076.064450799</v>
      </c>
      <c r="AE25" s="68">
        <f>X25*cost_early_treatment</f>
        <v>785716.1650420344</v>
      </c>
      <c r="AF25" s="68">
        <f>T25*cost_advanced_year</f>
        <v>1094840.919517814</v>
      </c>
      <c r="AG25" s="68">
        <f>AD25+AE25+AF25</f>
        <v>7661633.149010647</v>
      </c>
      <c r="AH25" s="67">
        <f>V25</f>
        <v>95711.81348684286</v>
      </c>
      <c r="AI25" s="67">
        <f>R25*u_healthy+S25*u_early+T25*u_advanced</f>
        <v>86115.96292762274</v>
      </c>
      <c r="AJ25" s="69">
        <f>1/(1+disc_costs)^A25</f>
        <v>0.6231669392201139</v>
      </c>
      <c r="AK25" s="69">
        <f>1/(1+disc_effects)^A25</f>
        <v>0.6231669392201139</v>
      </c>
      <c r="AL25" s="68">
        <f>AG25*AJ25</f>
        <v>4774476.478896328</v>
      </c>
      <c r="AM25" s="67">
        <f>AI25*AK25</f>
        <v>53664.62103559946</v>
      </c>
      <c r="AN25" s="67">
        <f>AH25*AK25</f>
        <v>59644.43785780228</v>
      </c>
      <c r="AO25" s="64" t="str">
        <f>IF(AND(ABS(V25+U25-cohort_size)&lt;0.000001*cohort_size,MIN(I25:Q25)&gt;=0,MAX(I25:Q25)&lt;=1),"OK","CHECK")</f>
        <v>OK</v>
      </c>
    </row>
    <row r="26">
      <c r="A26" s="63">
        <f>A25+1</f>
        <v>17.0</v>
      </c>
      <c r="B26" s="63">
        <f>start_age+A26</f>
        <v>57.0</v>
      </c>
      <c r="C26" s="64" t="str">
        <f>INDEX(age_band_label,MATCH(B26,age_band_start,1))</f>
        <v>55-59</v>
      </c>
      <c r="D26" s="65">
        <f>INDEX(p_background_death,MATCH(B26,age_band_start,1))</f>
        <v>0.0055</v>
      </c>
      <c r="E26" s="65">
        <f>INDEX(p_cancer_onset,MATCH(B26,age_band_start,1))</f>
        <v>0.0008</v>
      </c>
      <c r="F26" s="63">
        <f>IF(AND($B$3="Yes",B26&gt;=$E$3,B26&lt;=$H$3),1,0)</f>
        <v>1.0</v>
      </c>
      <c r="G26" s="66">
        <f>F26*screen_participation</f>
        <v>0.6</v>
      </c>
      <c r="H26" s="65">
        <f>1-(1-p_detect_symptoms)*(1-G26*screen_sensitivity)</f>
        <v>0.47799999999999987</v>
      </c>
      <c r="I26" s="65">
        <f>1-J26-K26</f>
        <v>0.9937044</v>
      </c>
      <c r="J26" s="65">
        <f>(1-D26)*E26</f>
        <v>0.0007956</v>
      </c>
      <c r="K26" s="65">
        <f>D26</f>
        <v>0.0055</v>
      </c>
      <c r="L26" s="65">
        <f>(1-D26)*H26*p_cure_early</f>
        <v>0.4278338999999999</v>
      </c>
      <c r="M26" s="65">
        <f>(1-D26)*(1-H26)*(1-p_progression)</f>
        <v>0.38934675000000013</v>
      </c>
      <c r="N26" s="65">
        <f>(1-D26)*(H26*(1-p_cure_early)+(1-H26)*p_progression)</f>
        <v>0.17731935000000001</v>
      </c>
      <c r="O26" s="65">
        <f>D26</f>
        <v>0.0055</v>
      </c>
      <c r="P26" s="65">
        <f>1-Q26</f>
        <v>0.7458750000000001</v>
      </c>
      <c r="Q26" s="65">
        <f>1-(1-D26)*(1-p_death_advanced)</f>
        <v>0.25412499999999993</v>
      </c>
      <c r="R26" s="67">
        <f>R25*I25+S25*L25</f>
        <v>94992.49957438518</v>
      </c>
      <c r="S26" s="67">
        <f>R25*J25+S25*M25</f>
        <v>118.91917408325239</v>
      </c>
      <c r="T26" s="67">
        <f>S25*N25+T25*P25</f>
        <v>60.36952301604639</v>
      </c>
      <c r="U26" s="67">
        <f>U25+R25*K25+S25*O25+T25*Q25</f>
        <v>4828.211728515529</v>
      </c>
      <c r="V26" s="67">
        <f>R26+S26+T26</f>
        <v>95171.78827148447</v>
      </c>
      <c r="W26" s="67">
        <f>R26*J26</f>
        <v>75.57603266138085</v>
      </c>
      <c r="X26" s="67">
        <f>S26*(1-D26)*H26</f>
        <v>56.53072670312976</v>
      </c>
      <c r="Y26" s="67">
        <f>S26*(1-D26)*(1-H26)*p_progression</f>
        <v>15.433597980666185</v>
      </c>
      <c r="Z26" s="67">
        <f>X26+Y26</f>
        <v>71.96432468379595</v>
      </c>
      <c r="AA26" s="67">
        <f>T26*(1-D26)*p_death_advanced</f>
        <v>15.009372659864534</v>
      </c>
      <c r="AB26" s="67">
        <f>(R26+S26)*G26</f>
        <v>57066.85124908105</v>
      </c>
      <c r="AC26" s="67">
        <f>G26*(R26*(1-screen_specificity)+S26*screen_sensitivity)</f>
        <v>4039.63103523914</v>
      </c>
      <c r="AD26" s="68">
        <f>AB26*cost_screen_test+AC26*cost_followup_test</f>
        <v>5751636.572711572</v>
      </c>
      <c r="AE26" s="68">
        <f>X26*cost_early_treatment</f>
        <v>847960.9005469463</v>
      </c>
      <c r="AF26" s="68">
        <f>T26*cost_advanced_year</f>
        <v>1207390.4603209277</v>
      </c>
      <c r="AG26" s="68">
        <f>AD26+AE26+AF26</f>
        <v>7806987.933579447</v>
      </c>
      <c r="AH26" s="67">
        <f>V26</f>
        <v>95171.78827148447</v>
      </c>
      <c r="AI26" s="67">
        <f>R26*u_healthy+S26*u_early+T26*u_advanced</f>
        <v>85627.53415257626</v>
      </c>
      <c r="AJ26" s="69">
        <f>1/(1+disc_costs)^A26</f>
        <v>0.6050164458447708</v>
      </c>
      <c r="AK26" s="69">
        <f>1/(1+disc_effects)^A26</f>
        <v>0.6050164458447708</v>
      </c>
      <c r="AL26" s="68">
        <f>AG26*AJ26</f>
        <v>4723356.092327248</v>
      </c>
      <c r="AM26" s="67">
        <f>AI26*AK26</f>
        <v>51806.066379443415</v>
      </c>
      <c r="AN26" s="67">
        <f>AH26*AK26</f>
        <v>57580.49708470458</v>
      </c>
      <c r="AO26" s="64" t="str">
        <f>IF(AND(ABS(V26+U26-cohort_size)&lt;0.000001*cohort_size,MIN(I26:Q26)&gt;=0,MAX(I26:Q26)&lt;=1),"OK","CHECK")</f>
        <v>OK</v>
      </c>
    </row>
    <row r="27">
      <c r="A27" s="63">
        <f>A26+1</f>
        <v>18.0</v>
      </c>
      <c r="B27" s="63">
        <f>start_age+A27</f>
        <v>58.0</v>
      </c>
      <c r="C27" s="64" t="str">
        <f>INDEX(age_band_label,MATCH(B27,age_band_start,1))</f>
        <v>55-59</v>
      </c>
      <c r="D27" s="65">
        <f>INDEX(p_background_death,MATCH(B27,age_band_start,1))</f>
        <v>0.0055</v>
      </c>
      <c r="E27" s="65">
        <f>INDEX(p_cancer_onset,MATCH(B27,age_band_start,1))</f>
        <v>0.0008</v>
      </c>
      <c r="F27" s="63">
        <f>IF(AND($B$3="Yes",B27&gt;=$E$3,B27&lt;=$H$3),1,0)</f>
        <v>1.0</v>
      </c>
      <c r="G27" s="66">
        <f>F27*screen_participation</f>
        <v>0.6</v>
      </c>
      <c r="H27" s="65">
        <f>1-(1-p_detect_symptoms)*(1-G27*screen_sensitivity)</f>
        <v>0.47799999999999987</v>
      </c>
      <c r="I27" s="65">
        <f>1-J27-K27</f>
        <v>0.9937044</v>
      </c>
      <c r="J27" s="65">
        <f>(1-D27)*E27</f>
        <v>0.0007956</v>
      </c>
      <c r="K27" s="65">
        <f>D27</f>
        <v>0.0055</v>
      </c>
      <c r="L27" s="65">
        <f>(1-D27)*H27*p_cure_early</f>
        <v>0.4278338999999999</v>
      </c>
      <c r="M27" s="65">
        <f>(1-D27)*(1-H27)*(1-p_progression)</f>
        <v>0.38934675000000013</v>
      </c>
      <c r="N27" s="65">
        <f>(1-D27)*(H27*(1-p_cure_early)+(1-H27)*p_progression)</f>
        <v>0.17731935000000001</v>
      </c>
      <c r="O27" s="65">
        <f>D27</f>
        <v>0.0055</v>
      </c>
      <c r="P27" s="65">
        <f>1-Q27</f>
        <v>0.7458750000000001</v>
      </c>
      <c r="Q27" s="65">
        <f>1-(1-D27)*(1-p_death_advanced)</f>
        <v>0.25412499999999993</v>
      </c>
      <c r="R27" s="67">
        <f>R26*I26+S26*L26</f>
        <v>94445.3424480975</v>
      </c>
      <c r="S27" s="67">
        <f>R26*J26+S26*M26</f>
        <v>121.87682660337941</v>
      </c>
      <c r="T27" s="67">
        <f>S26*N26+T26*P26</f>
        <v>66.11478863057276</v>
      </c>
      <c r="U27" s="67">
        <f>U26+R26*K26+S26*O26+T26*Q26</f>
        <v>5366.665936668558</v>
      </c>
      <c r="V27" s="67">
        <f>R27+S27+T27</f>
        <v>94633.33406333144</v>
      </c>
      <c r="W27" s="67">
        <f>R27*J27</f>
        <v>75.14071445170637</v>
      </c>
      <c r="X27" s="67">
        <f>S27*(1-D27)*H27</f>
        <v>57.93670893927506</v>
      </c>
      <c r="Y27" s="67">
        <f>S27*(1-D27)*(1-H27)*p_progression</f>
        <v>15.817448779446442</v>
      </c>
      <c r="Z27" s="67">
        <f>X27+Y27</f>
        <v>73.7541577187215</v>
      </c>
      <c r="AA27" s="67">
        <f>T27*(1-D27)*p_death_advanced</f>
        <v>16.437789323276153</v>
      </c>
      <c r="AB27" s="67">
        <f>(R27+S27)*G27</f>
        <v>56740.33156482052</v>
      </c>
      <c r="AC27" s="67">
        <f>G27*(R27*(1-screen_specificity)+S27*screen_sensitivity)</f>
        <v>4017.8926499935114</v>
      </c>
      <c r="AD27" s="68">
        <f>AB27*cost_screen_test+AC27*cost_followup_test</f>
        <v>5720102.596938127</v>
      </c>
      <c r="AE27" s="68">
        <f>X27*cost_early_treatment</f>
        <v>869050.6340891259</v>
      </c>
      <c r="AF27" s="68">
        <f>T27*cost_advanced_year</f>
        <v>1322295.7726114553</v>
      </c>
      <c r="AG27" s="68">
        <f>AD27+AE27+AF27</f>
        <v>7911449.003638708</v>
      </c>
      <c r="AH27" s="67">
        <f>V27</f>
        <v>94633.33406333144</v>
      </c>
      <c r="AI27" s="67">
        <f>R27*u_healthy+S27*u_early+T27*u_advanced</f>
        <v>85140.76663964742</v>
      </c>
      <c r="AJ27" s="69">
        <f>1/(1+disc_costs)^A27</f>
        <v>0.5873946076162823</v>
      </c>
      <c r="AK27" s="69">
        <f>1/(1+disc_effects)^A27</f>
        <v>0.5873946076162823</v>
      </c>
      <c r="AL27" s="68">
        <f>AG27*AJ27</f>
        <v>4647142.483168586</v>
      </c>
      <c r="AM27" s="67">
        <f>AI27*AK27</f>
        <v>50011.227212445156</v>
      </c>
      <c r="AN27" s="67">
        <f>AH27*AK27</f>
        <v>55587.110129551125</v>
      </c>
      <c r="AO27" s="64" t="str">
        <f>IF(AND(ABS(V27+U27-cohort_size)&lt;0.000001*cohort_size,MIN(I27:Q27)&gt;=0,MAX(I27:Q27)&lt;=1),"OK","CHECK")</f>
        <v>OK</v>
      </c>
    </row>
    <row r="28">
      <c r="A28" s="63">
        <f>A27+1</f>
        <v>19.0</v>
      </c>
      <c r="B28" s="63">
        <f>start_age+A28</f>
        <v>59.0</v>
      </c>
      <c r="C28" s="64" t="str">
        <f>INDEX(age_band_label,MATCH(B28,age_band_start,1))</f>
        <v>55-59</v>
      </c>
      <c r="D28" s="65">
        <f>INDEX(p_background_death,MATCH(B28,age_band_start,1))</f>
        <v>0.0055</v>
      </c>
      <c r="E28" s="65">
        <f>INDEX(p_cancer_onset,MATCH(B28,age_band_start,1))</f>
        <v>0.0008</v>
      </c>
      <c r="F28" s="63">
        <f>IF(AND($B$3="Yes",B28&gt;=$E$3,B28&lt;=$H$3),1,0)</f>
        <v>1.0</v>
      </c>
      <c r="G28" s="66">
        <f>F28*screen_participation</f>
        <v>0.6</v>
      </c>
      <c r="H28" s="65">
        <f>1-(1-p_detect_symptoms)*(1-G28*screen_sensitivity)</f>
        <v>0.47799999999999987</v>
      </c>
      <c r="I28" s="65">
        <f>1-J28-K28</f>
        <v>0.9937044</v>
      </c>
      <c r="J28" s="65">
        <f>(1-D28)*E28</f>
        <v>0.0007956</v>
      </c>
      <c r="K28" s="65">
        <f>D28</f>
        <v>0.0055</v>
      </c>
      <c r="L28" s="65">
        <f>(1-D28)*H28*p_cure_early</f>
        <v>0.4278338999999999</v>
      </c>
      <c r="M28" s="65">
        <f>(1-D28)*(1-H28)*(1-p_progression)</f>
        <v>0.38934675000000013</v>
      </c>
      <c r="N28" s="65">
        <f>(1-D28)*(H28*(1-p_cure_early)+(1-H28)*p_progression)</f>
        <v>0.17731935000000001</v>
      </c>
      <c r="O28" s="65">
        <f>D28</f>
        <v>0.0055</v>
      </c>
      <c r="P28" s="65">
        <f>1-Q28</f>
        <v>0.7458750000000001</v>
      </c>
      <c r="Q28" s="65">
        <f>1-(1-D28)*(1-p_death_advanced)</f>
        <v>0.25412499999999993</v>
      </c>
      <c r="R28" s="67">
        <f>R27*I27+S27*L27</f>
        <v>93902.8953882266</v>
      </c>
      <c r="S28" s="67">
        <f>R27*J27+S27*M27</f>
        <v>122.59306079004571</v>
      </c>
      <c r="T28" s="67">
        <f>S27*N27+T27*P27</f>
        <v>70.92448764320241</v>
      </c>
      <c r="U28" s="67">
        <f>U27+R27*K27+S27*O27+T27*Q27</f>
        <v>5903.587063340157</v>
      </c>
      <c r="V28" s="67">
        <f>R28+S28+T28</f>
        <v>94096.41293665986</v>
      </c>
      <c r="W28" s="67">
        <f>R28*J28</f>
        <v>74.7091435708731</v>
      </c>
      <c r="X28" s="67">
        <f>S28*(1-D28)*H28</f>
        <v>58.277185900824804</v>
      </c>
      <c r="Y28" s="67">
        <f>S28*(1-D28)*(1-H28)*p_progression</f>
        <v>15.910403263718916</v>
      </c>
      <c r="Z28" s="67">
        <f>X28+Y28</f>
        <v>74.18758916454372</v>
      </c>
      <c r="AA28" s="67">
        <f>T28*(1-D28)*p_death_advanced</f>
        <v>17.6336007402912</v>
      </c>
      <c r="AB28" s="67">
        <f>(R28+S28)*G28</f>
        <v>56415.29306940999</v>
      </c>
      <c r="AC28" s="67">
        <f>G28*(R28*(1-screen_specificity)+S28*screen_sensitivity)</f>
        <v>3995.410691837334</v>
      </c>
      <c r="AD28" s="68">
        <f>AB28*cost_screen_test+AC28*cost_followup_test</f>
        <v>5687869.483919634</v>
      </c>
      <c r="AE28" s="68">
        <f>X28*cost_early_treatment</f>
        <v>874157.7885123721</v>
      </c>
      <c r="AF28" s="68">
        <f>T28*cost_advanced_year</f>
        <v>1418489.7528640481</v>
      </c>
      <c r="AG28" s="68">
        <f>AD28+AE28+AF28</f>
        <v>7980517.025296054</v>
      </c>
      <c r="AH28" s="67">
        <f>V28</f>
        <v>94096.41293665986</v>
      </c>
      <c r="AI28" s="67">
        <f>R28*u_healthy+S28*u_early+T28*u_advanced</f>
        <v>84655.81841927924</v>
      </c>
      <c r="AJ28" s="69">
        <f>1/(1+disc_costs)^A28</f>
        <v>0.5702860268119245</v>
      </c>
      <c r="AK28" s="69">
        <f>1/(1+disc_effects)^A28</f>
        <v>0.5702860268119245</v>
      </c>
      <c r="AL28" s="68">
        <f>AG28*AJ28</f>
        <v>4551177.346261006</v>
      </c>
      <c r="AM28" s="67">
        <f>AI28*AK28</f>
        <v>48278.03033284249</v>
      </c>
      <c r="AN28" s="67">
        <f>AH28*AK28</f>
        <v>53661.86947090193</v>
      </c>
      <c r="AO28" s="64" t="str">
        <f>IF(AND(ABS(V28+U28-cohort_size)&lt;0.000001*cohort_size,MIN(I28:Q28)&gt;=0,MAX(I28:Q28)&lt;=1),"OK","CHECK")</f>
        <v>OK</v>
      </c>
    </row>
    <row r="29">
      <c r="A29" s="63">
        <f>A28+1</f>
        <v>20.0</v>
      </c>
      <c r="B29" s="63">
        <f>start_age+A29</f>
        <v>60.0</v>
      </c>
      <c r="C29" s="64" t="str">
        <f>INDEX(age_band_label,MATCH(B29,age_band_start,1))</f>
        <v>60-64</v>
      </c>
      <c r="D29" s="65">
        <f>INDEX(p_background_death,MATCH(B29,age_band_start,1))</f>
        <v>0.0085</v>
      </c>
      <c r="E29" s="65">
        <f>INDEX(p_cancer_onset,MATCH(B29,age_band_start,1))</f>
        <v>0.0011</v>
      </c>
      <c r="F29" s="63">
        <f>IF(AND($B$3="Yes",B29&gt;=$E$3,B29&lt;=$H$3),1,0)</f>
        <v>1.0</v>
      </c>
      <c r="G29" s="66">
        <f>F29*screen_participation</f>
        <v>0.6</v>
      </c>
      <c r="H29" s="65">
        <f>1-(1-p_detect_symptoms)*(1-G29*screen_sensitivity)</f>
        <v>0.47799999999999987</v>
      </c>
      <c r="I29" s="65">
        <f>1-J29-K29</f>
        <v>0.9904093500000001</v>
      </c>
      <c r="J29" s="65">
        <f>(1-D29)*E29</f>
        <v>0.00109065</v>
      </c>
      <c r="K29" s="65">
        <f>D29</f>
        <v>0.0085</v>
      </c>
      <c r="L29" s="65">
        <f>(1-D29)*H29*p_cure_early</f>
        <v>0.4265432999999999</v>
      </c>
      <c r="M29" s="65">
        <f>(1-D29)*(1-H29)*(1-p_progression)</f>
        <v>0.3881722500000001</v>
      </c>
      <c r="N29" s="65">
        <f>(1-D29)*(H29*(1-p_cure_early)+(1-H29)*p_progression)</f>
        <v>0.17678445</v>
      </c>
      <c r="O29" s="65">
        <f>D29</f>
        <v>0.0085</v>
      </c>
      <c r="P29" s="65">
        <f>1-Q29</f>
        <v>0.743625</v>
      </c>
      <c r="Q29" s="65">
        <f>1-(1-D29)*(1-p_death_advanced)</f>
        <v>0.256375</v>
      </c>
      <c r="R29" s="67">
        <f>R28*I28+S28*L28</f>
        <v>93364.16978733124</v>
      </c>
      <c r="S29" s="67">
        <f>R28*J28+S28*M28</f>
        <v>122.44035336202984</v>
      </c>
      <c r="T29" s="67">
        <f>S28*N28+T28*P28</f>
        <v>74.638924074675</v>
      </c>
      <c r="U29" s="67">
        <f>U28+R28*K28+S28*O28+T28*Q28</f>
        <v>6438.750935232078</v>
      </c>
      <c r="V29" s="67">
        <f>R29+S29+T29</f>
        <v>93561.24906476795</v>
      </c>
      <c r="W29" s="67">
        <f>R29*J29</f>
        <v>101.82763177855283</v>
      </c>
      <c r="X29" s="67">
        <f>S29*(1-D29)*H29</f>
        <v>58.02901375134032</v>
      </c>
      <c r="Y29" s="67">
        <f>S29*(1-D29)*(1-H29)*p_progression</f>
        <v>15.842649151778067</v>
      </c>
      <c r="Z29" s="67">
        <f>X29+Y29</f>
        <v>73.87166290311839</v>
      </c>
      <c r="AA29" s="67">
        <f>T29*(1-D29)*p_death_advanced</f>
        <v>18.50112330501007</v>
      </c>
      <c r="AB29" s="67">
        <f>(R29+S29)*G29</f>
        <v>56091.96608441596</v>
      </c>
      <c r="AC29" s="67">
        <f>G29*(R29*(1-screen_specificity)+S29*screen_sensitivity)</f>
        <v>3972.720079479962</v>
      </c>
      <c r="AD29" s="68">
        <f>AB29*cost_screen_test+AC29*cost_followup_test</f>
        <v>5655479.062012441</v>
      </c>
      <c r="AE29" s="68">
        <f>X29*cost_early_treatment</f>
        <v>870435.2062701049</v>
      </c>
      <c r="AF29" s="68">
        <f>T29*cost_advanced_year</f>
        <v>1492778.4814935</v>
      </c>
      <c r="AG29" s="68">
        <f>AD29+AE29+AF29</f>
        <v>8018692.749776047</v>
      </c>
      <c r="AH29" s="67">
        <f>V29</f>
        <v>93561.24906476795</v>
      </c>
      <c r="AI29" s="67">
        <f>R29*u_healthy+S29*u_early+T29*u_advanced</f>
        <v>84172.8785171969</v>
      </c>
      <c r="AJ29" s="69">
        <f>1/(1+disc_costs)^A29</f>
        <v>0.5536757541863345</v>
      </c>
      <c r="AK29" s="69">
        <f>1/(1+disc_effects)^A29</f>
        <v>0.5536757541863345</v>
      </c>
      <c r="AL29" s="68">
        <f>AG29*AJ29</f>
        <v>4439755.755820746</v>
      </c>
      <c r="AM29" s="67">
        <f>AI29*AK29</f>
        <v>46604.481995043716</v>
      </c>
      <c r="AN29" s="67">
        <f>AH29*AK29</f>
        <v>51802.59513855088</v>
      </c>
      <c r="AO29" s="64" t="str">
        <f>IF(AND(ABS(V29+U29-cohort_size)&lt;0.000001*cohort_size,MIN(I29:Q29)&gt;=0,MAX(I29:Q29)&lt;=1),"OK","CHECK")</f>
        <v>OK</v>
      </c>
    </row>
    <row r="30">
      <c r="A30" s="63">
        <f>A29+1</f>
        <v>21.0</v>
      </c>
      <c r="B30" s="63">
        <f>start_age+A30</f>
        <v>61.0</v>
      </c>
      <c r="C30" s="64" t="str">
        <f>INDEX(age_band_label,MATCH(B30,age_band_start,1))</f>
        <v>60-64</v>
      </c>
      <c r="D30" s="65">
        <f>INDEX(p_background_death,MATCH(B30,age_band_start,1))</f>
        <v>0.0085</v>
      </c>
      <c r="E30" s="65">
        <f>INDEX(p_cancer_onset,MATCH(B30,age_band_start,1))</f>
        <v>0.0011</v>
      </c>
      <c r="F30" s="63">
        <f>IF(AND($B$3="Yes",B30&gt;=$E$3,B30&lt;=$H$3),1,0)</f>
        <v>1.0</v>
      </c>
      <c r="G30" s="66">
        <f>F30*screen_participation</f>
        <v>0.6</v>
      </c>
      <c r="H30" s="65">
        <f>1-(1-p_detect_symptoms)*(1-G30*screen_sensitivity)</f>
        <v>0.47799999999999987</v>
      </c>
      <c r="I30" s="65">
        <f>1-J30-K30</f>
        <v>0.9904093500000001</v>
      </c>
      <c r="J30" s="65">
        <f>(1-D30)*E30</f>
        <v>0.00109065</v>
      </c>
      <c r="K30" s="65">
        <f>D30</f>
        <v>0.0085</v>
      </c>
      <c r="L30" s="65">
        <f>(1-D30)*H30*p_cure_early</f>
        <v>0.4265432999999999</v>
      </c>
      <c r="M30" s="65">
        <f>(1-D30)*(1-H30)*(1-p_progression)</f>
        <v>0.3881722500000001</v>
      </c>
      <c r="N30" s="65">
        <f>(1-D30)*(H30*(1-p_cure_early)+(1-H30)*p_progression)</f>
        <v>0.17678445</v>
      </c>
      <c r="O30" s="65">
        <f>D30</f>
        <v>0.0085</v>
      </c>
      <c r="P30" s="65">
        <f>1-Q30</f>
        <v>0.743625</v>
      </c>
      <c r="Q30" s="65">
        <f>1-(1-D30)*(1-p_death_advanced)</f>
        <v>0.256375</v>
      </c>
      <c r="R30" s="67">
        <f>R29*I29+S29*L29</f>
        <v>92520.97282473657</v>
      </c>
      <c r="S30" s="67">
        <f>R29*J29+S29*M29</f>
        <v>149.35557923388703</v>
      </c>
      <c r="T30" s="67">
        <f>S29*N29+T29*P29</f>
        <v>77.1489204419423</v>
      </c>
      <c r="U30" s="67">
        <f>U29+R29*K29+S29*O29+T29*Q29</f>
        <v>7252.522675587616</v>
      </c>
      <c r="V30" s="67">
        <f>R30+S30+T30</f>
        <v>92747.47732441241</v>
      </c>
      <c r="W30" s="67">
        <f>R30*J30</f>
        <v>100.90799901129895</v>
      </c>
      <c r="X30" s="67">
        <f>S30*(1-D30)*H30</f>
        <v>70.7851351553707</v>
      </c>
      <c r="Y30" s="67">
        <f>S30*(1-D30)*(1-H30)*p_progression</f>
        <v>19.325230413757073</v>
      </c>
      <c r="Z30" s="67">
        <f>X30+Y30</f>
        <v>90.11036556912777</v>
      </c>
      <c r="AA30" s="67">
        <f>T30*(1-D30)*p_death_advanced</f>
        <v>19.123288654546446</v>
      </c>
      <c r="AB30" s="67">
        <f>(R30+S30)*G30</f>
        <v>55602.19704238227</v>
      </c>
      <c r="AC30" s="67">
        <f>G30*(R30*(1-screen_specificity)+S30*screen_sensitivity)</f>
        <v>3948.610201917166</v>
      </c>
      <c r="AD30" s="68">
        <f>AB30*cost_screen_test+AC30*cost_followup_test</f>
        <v>5616676.113188634</v>
      </c>
      <c r="AE30" s="68">
        <f>X30*cost_early_treatment</f>
        <v>1061777.0273305604</v>
      </c>
      <c r="AF30" s="68">
        <f>T30*cost_advanced_year</f>
        <v>1542978.4088388458</v>
      </c>
      <c r="AG30" s="68">
        <f>AD30+AE30+AF30</f>
        <v>8221431.54935804</v>
      </c>
      <c r="AH30" s="67">
        <f>V30</f>
        <v>92747.47732441241</v>
      </c>
      <c r="AI30" s="67">
        <f>R30*u_healthy+S30*u_early+T30*u_advanced</f>
        <v>83438.2596908548</v>
      </c>
      <c r="AJ30" s="69">
        <f>1/(1+disc_costs)^A30</f>
        <v>0.5375492759090627</v>
      </c>
      <c r="AK30" s="69">
        <f>1/(1+disc_effects)^A30</f>
        <v>0.5375492759090627</v>
      </c>
      <c r="AL30" s="68">
        <f>AG30*AJ30</f>
        <v>4419424.576293337</v>
      </c>
      <c r="AM30" s="67">
        <f>AI30*AK30</f>
        <v>44852.17607993133</v>
      </c>
      <c r="AN30" s="67">
        <f>AH30*AK30</f>
        <v>49856.3392781301</v>
      </c>
      <c r="AO30" s="64" t="str">
        <f>IF(AND(ABS(V30+U30-cohort_size)&lt;0.000001*cohort_size,MIN(I30:Q30)&gt;=0,MAX(I30:Q30)&lt;=1),"OK","CHECK")</f>
        <v>OK</v>
      </c>
    </row>
    <row r="31">
      <c r="A31" s="63">
        <f>A30+1</f>
        <v>22.0</v>
      </c>
      <c r="B31" s="63">
        <f>start_age+A31</f>
        <v>62.0</v>
      </c>
      <c r="C31" s="64" t="str">
        <f>INDEX(age_band_label,MATCH(B31,age_band_start,1))</f>
        <v>60-64</v>
      </c>
      <c r="D31" s="65">
        <f>INDEX(p_background_death,MATCH(B31,age_band_start,1))</f>
        <v>0.0085</v>
      </c>
      <c r="E31" s="65">
        <f>INDEX(p_cancer_onset,MATCH(B31,age_band_start,1))</f>
        <v>0.0011</v>
      </c>
      <c r="F31" s="63">
        <f>IF(AND($B$3="Yes",B31&gt;=$E$3,B31&lt;=$H$3),1,0)</f>
        <v>1.0</v>
      </c>
      <c r="G31" s="66">
        <f>F31*screen_participation</f>
        <v>0.6</v>
      </c>
      <c r="H31" s="65">
        <f>1-(1-p_detect_symptoms)*(1-G31*screen_sensitivity)</f>
        <v>0.47799999999999987</v>
      </c>
      <c r="I31" s="65">
        <f>1-J31-K31</f>
        <v>0.9904093500000001</v>
      </c>
      <c r="J31" s="65">
        <f>(1-D31)*E31</f>
        <v>0.00109065</v>
      </c>
      <c r="K31" s="65">
        <f>D31</f>
        <v>0.0085</v>
      </c>
      <c r="L31" s="65">
        <f>(1-D31)*H31*p_cure_early</f>
        <v>0.4265432999999999</v>
      </c>
      <c r="M31" s="65">
        <f>(1-D31)*(1-H31)*(1-p_progression)</f>
        <v>0.3881722500000001</v>
      </c>
      <c r="N31" s="65">
        <f>(1-D31)*(H31*(1-p_cure_early)+(1-H31)*p_progression)</f>
        <v>0.17678445</v>
      </c>
      <c r="O31" s="65">
        <f>D31</f>
        <v>0.0085</v>
      </c>
      <c r="P31" s="65">
        <f>1-Q31</f>
        <v>0.743625</v>
      </c>
      <c r="Q31" s="65">
        <f>1-(1-D31)*(1-p_death_advanced)</f>
        <v>0.256375</v>
      </c>
      <c r="R31" s="67">
        <f>R30*I30+S30*L30</f>
        <v>91697.34317835486</v>
      </c>
      <c r="S31" s="67">
        <f>R30*J30+S30*M30</f>
        <v>158.88369025257018</v>
      </c>
      <c r="T31" s="67">
        <f>S30*N30+T30*P30</f>
        <v>83.77360989293348</v>
      </c>
      <c r="U31" s="67">
        <f>U30+R30*K30+S30*O30+T30*Q30</f>
        <v>8059.999521499667</v>
      </c>
      <c r="V31" s="67">
        <f>R31+S31+T31</f>
        <v>91940.00047850035</v>
      </c>
      <c r="W31" s="67">
        <f>R31*J31</f>
        <v>100.00970733747273</v>
      </c>
      <c r="X31" s="67">
        <f>S31*(1-D31)*H31</f>
        <v>75.30085950723233</v>
      </c>
      <c r="Y31" s="67">
        <f>S31*(1-D31)*(1-H31)*p_progression</f>
        <v>20.55807984454775</v>
      </c>
      <c r="Z31" s="67">
        <f>X31+Y31</f>
        <v>95.85893935178008</v>
      </c>
      <c r="AA31" s="67">
        <f>T31*(1-D31)*p_death_advanced</f>
        <v>20.76538355221089</v>
      </c>
      <c r="AB31" s="67">
        <f>(R31+S31)*G31</f>
        <v>55113.73612116445</v>
      </c>
      <c r="AC31" s="67">
        <f>G31*(R31*(1-screen_specificity)+S31*screen_sensitivity)</f>
        <v>3918.0195633969806</v>
      </c>
      <c r="AD31" s="68">
        <f>AB31*cost_screen_test+AC31*cost_followup_test</f>
        <v>5571431.647031914</v>
      </c>
      <c r="AE31" s="68">
        <f>X31*cost_early_treatment</f>
        <v>1129512.892608485</v>
      </c>
      <c r="AF31" s="68">
        <f>T31*cost_advanced_year</f>
        <v>1675472.1978586696</v>
      </c>
      <c r="AG31" s="68">
        <f>AD31+AE31+AF31</f>
        <v>8376416.737499069</v>
      </c>
      <c r="AH31" s="67">
        <f>V31</f>
        <v>91940.00047850035</v>
      </c>
      <c r="AI31" s="67">
        <f>R31*u_healthy+S31*u_early+T31*u_advanced</f>
        <v>82708.73548267517</v>
      </c>
      <c r="AJ31" s="69">
        <f>1/(1+disc_costs)^A31</f>
        <v>0.5218925008825851</v>
      </c>
      <c r="AK31" s="69">
        <f>1/(1+disc_effects)^A31</f>
        <v>0.5218925008825851</v>
      </c>
      <c r="AL31" s="68">
        <f>AG31*AJ31</f>
        <v>4371589.079568134</v>
      </c>
      <c r="AM31" s="67">
        <f>AI31*AK31</f>
        <v>43165.06880588955</v>
      </c>
      <c r="AN31" s="67">
        <f>AH31*AK31</f>
        <v>47982.79678087062</v>
      </c>
      <c r="AO31" s="64" t="str">
        <f>IF(AND(ABS(V31+U31-cohort_size)&lt;0.000001*cohort_size,MIN(I31:Q31)&gt;=0,MAX(I31:Q31)&lt;=1),"OK","CHECK")</f>
        <v>OK</v>
      </c>
    </row>
    <row r="32">
      <c r="A32" s="63">
        <f>A31+1</f>
        <v>23.0</v>
      </c>
      <c r="B32" s="63">
        <f>start_age+A32</f>
        <v>63.0</v>
      </c>
      <c r="C32" s="64" t="str">
        <f>INDEX(age_band_label,MATCH(B32,age_band_start,1))</f>
        <v>60-64</v>
      </c>
      <c r="D32" s="65">
        <f>INDEX(p_background_death,MATCH(B32,age_band_start,1))</f>
        <v>0.0085</v>
      </c>
      <c r="E32" s="65">
        <f>INDEX(p_cancer_onset,MATCH(B32,age_band_start,1))</f>
        <v>0.0011</v>
      </c>
      <c r="F32" s="63">
        <f>IF(AND($B$3="Yes",B32&gt;=$E$3,B32&lt;=$H$3),1,0)</f>
        <v>1.0</v>
      </c>
      <c r="G32" s="66">
        <f>F32*screen_participation</f>
        <v>0.6</v>
      </c>
      <c r="H32" s="65">
        <f>1-(1-p_detect_symptoms)*(1-G32*screen_sensitivity)</f>
        <v>0.47799999999999987</v>
      </c>
      <c r="I32" s="65">
        <f>1-J32-K32</f>
        <v>0.9904093500000001</v>
      </c>
      <c r="J32" s="65">
        <f>(1-D32)*E32</f>
        <v>0.00109065</v>
      </c>
      <c r="K32" s="65">
        <f>D32</f>
        <v>0.0085</v>
      </c>
      <c r="L32" s="65">
        <f>(1-D32)*H32*p_cure_early</f>
        <v>0.4265432999999999</v>
      </c>
      <c r="M32" s="65">
        <f>(1-D32)*(1-H32)*(1-p_progression)</f>
        <v>0.3881722500000001</v>
      </c>
      <c r="N32" s="65">
        <f>(1-D32)*(H32*(1-p_cure_early)+(1-H32)*p_progression)</f>
        <v>0.17678445</v>
      </c>
      <c r="O32" s="65">
        <f>D32</f>
        <v>0.0085</v>
      </c>
      <c r="P32" s="65">
        <f>1-Q32</f>
        <v>0.743625</v>
      </c>
      <c r="Q32" s="65">
        <f>1-(1-D32)*(1-p_death_advanced)</f>
        <v>0.256375</v>
      </c>
      <c r="R32" s="67">
        <f>R31*I31+S31*L31</f>
        <v>90885.67682755788</v>
      </c>
      <c r="S32" s="67">
        <f>R31*J31+S31*M31</f>
        <v>161.68394687111598</v>
      </c>
      <c r="T32" s="67">
        <f>S31*N31+T31*P31</f>
        <v>90.38431645190363</v>
      </c>
      <c r="U32" s="67">
        <f>U31+R31*K31+S31*O31+T31*Q31</f>
        <v>8862.254909119132</v>
      </c>
      <c r="V32" s="67">
        <f>R32+S32+T32</f>
        <v>91137.7450908809</v>
      </c>
      <c r="W32" s="67">
        <f>R32*J32</f>
        <v>99.12446343197601</v>
      </c>
      <c r="X32" s="67">
        <f>S32*(1-D32)*H32</f>
        <v>76.62800472825607</v>
      </c>
      <c r="Y32" s="67">
        <f>S32*(1-D32)*(1-H32)*p_progression</f>
        <v>20.920407148613858</v>
      </c>
      <c r="Z32" s="67">
        <f>X32+Y32</f>
        <v>97.54841187686993</v>
      </c>
      <c r="AA32" s="67">
        <f>T32*(1-D32)*p_death_advanced</f>
        <v>22.404012440515615</v>
      </c>
      <c r="AB32" s="67">
        <f>(R32+S32)*G32</f>
        <v>54628.41646465739</v>
      </c>
      <c r="AC32" s="67">
        <f>G32*(R32*(1-screen_specificity)+S32*screen_sensitivity)</f>
        <v>3885.1056844432965</v>
      </c>
      <c r="AD32" s="68">
        <f>AB32*cost_screen_test+AC32*cost_followup_test</f>
        <v>5523958.178383018</v>
      </c>
      <c r="AE32" s="68">
        <f>X32*cost_early_treatment</f>
        <v>1149420.070923841</v>
      </c>
      <c r="AF32" s="68">
        <f>T32*cost_advanced_year</f>
        <v>1807686.3290380726</v>
      </c>
      <c r="AG32" s="68">
        <f>AD32+AE32+AF32</f>
        <v>8481064.578344932</v>
      </c>
      <c r="AH32" s="67">
        <f>V32</f>
        <v>91137.7450908809</v>
      </c>
      <c r="AI32" s="67">
        <f>R32*u_healthy+S32*u_early+T32*u_advanced</f>
        <v>81984.25187369109</v>
      </c>
      <c r="AJ32" s="69">
        <f>1/(1+disc_costs)^A32</f>
        <v>0.5066917484296942</v>
      </c>
      <c r="AK32" s="69">
        <f>1/(1+disc_effects)^A32</f>
        <v>0.5066917484296942</v>
      </c>
      <c r="AL32" s="68">
        <f>AG32*AJ32</f>
        <v>4297285.439746741</v>
      </c>
      <c r="AM32" s="67">
        <f>AI32*AK32</f>
        <v>41540.74392558097</v>
      </c>
      <c r="AN32" s="67">
        <f>AH32*AK32</f>
        <v>46178.74340803822</v>
      </c>
      <c r="AO32" s="64" t="str">
        <f>IF(AND(ABS(V32+U32-cohort_size)&lt;0.000001*cohort_size,MIN(I32:Q32)&gt;=0,MAX(I32:Q32)&lt;=1),"OK","CHECK")</f>
        <v>OK</v>
      </c>
    </row>
    <row r="33">
      <c r="A33" s="63">
        <f>A32+1</f>
        <v>24.0</v>
      </c>
      <c r="B33" s="63">
        <f>start_age+A33</f>
        <v>64.0</v>
      </c>
      <c r="C33" s="64" t="str">
        <f>INDEX(age_band_label,MATCH(B33,age_band_start,1))</f>
        <v>60-64</v>
      </c>
      <c r="D33" s="65">
        <f>INDEX(p_background_death,MATCH(B33,age_band_start,1))</f>
        <v>0.0085</v>
      </c>
      <c r="E33" s="65">
        <f>INDEX(p_cancer_onset,MATCH(B33,age_band_start,1))</f>
        <v>0.0011</v>
      </c>
      <c r="F33" s="63">
        <f>IF(AND($B$3="Yes",B33&gt;=$E$3,B33&lt;=$H$3),1,0)</f>
        <v>1.0</v>
      </c>
      <c r="G33" s="66">
        <f>F33*screen_participation</f>
        <v>0.6</v>
      </c>
      <c r="H33" s="65">
        <f>1-(1-p_detect_symptoms)*(1-G33*screen_sensitivity)</f>
        <v>0.47799999999999987</v>
      </c>
      <c r="I33" s="65">
        <f>1-J33-K33</f>
        <v>0.9904093500000001</v>
      </c>
      <c r="J33" s="65">
        <f>(1-D33)*E33</f>
        <v>0.00109065</v>
      </c>
      <c r="K33" s="65">
        <f>D33</f>
        <v>0.0085</v>
      </c>
      <c r="L33" s="65">
        <f>(1-D33)*H33*p_cure_early</f>
        <v>0.4265432999999999</v>
      </c>
      <c r="M33" s="65">
        <f>(1-D33)*(1-H33)*(1-p_progression)</f>
        <v>0.3881722500000001</v>
      </c>
      <c r="N33" s="65">
        <f>(1-D33)*(H33*(1-p_cure_early)+(1-H33)*p_progression)</f>
        <v>0.17678445</v>
      </c>
      <c r="O33" s="65">
        <f>D33</f>
        <v>0.0085</v>
      </c>
      <c r="P33" s="65">
        <f>1-Q33</f>
        <v>0.743625</v>
      </c>
      <c r="Q33" s="65">
        <f>1-(1-D33)*(1-p_death_advanced)</f>
        <v>0.256375</v>
      </c>
      <c r="R33" s="67">
        <f>R32*I32+S32*L32</f>
        <v>90082.9893153471</v>
      </c>
      <c r="S33" s="67">
        <f>R32*J32+S32*M32</f>
        <v>161.88568487781757</v>
      </c>
      <c r="T33" s="67">
        <f>S32*N32+T32*P32</f>
        <v>95.79524494298629</v>
      </c>
      <c r="U33" s="67">
        <f>U32+R32*K32+S32*O32+T32*Q32</f>
        <v>9659.329754832135</v>
      </c>
      <c r="V33" s="67">
        <f>R33+S33+T33</f>
        <v>90340.67024516792</v>
      </c>
      <c r="W33" s="67">
        <f>R33*J33</f>
        <v>98.24901229678333</v>
      </c>
      <c r="X33" s="67">
        <f>S33*(1-D33)*H33</f>
        <v>76.72361583393821</v>
      </c>
      <c r="Y33" s="67">
        <f>S33*(1-D33)*(1-H33)*p_progression</f>
        <v>20.94651018060448</v>
      </c>
      <c r="Z33" s="67">
        <f>X33+Y33</f>
        <v>97.67012601454269</v>
      </c>
      <c r="AA33" s="67">
        <f>T33*(1-D33)*p_death_advanced</f>
        <v>23.745246340242726</v>
      </c>
      <c r="AB33" s="67">
        <f>(R33+S33)*G33</f>
        <v>54146.92500013496</v>
      </c>
      <c r="AC33" s="67">
        <f>G33*(R33*(1-screen_specificity)+S33*screen_sensitivity)</f>
        <v>3851.477538893259</v>
      </c>
      <c r="AD33" s="68">
        <f>AB33*cost_screen_test+AC33*cost_followup_test</f>
        <v>5475885.288897308</v>
      </c>
      <c r="AE33" s="68">
        <f>X33*cost_early_treatment</f>
        <v>1150854.2375090732</v>
      </c>
      <c r="AF33" s="68">
        <f>T33*cost_advanced_year</f>
        <v>1915904.8988597258</v>
      </c>
      <c r="AG33" s="68">
        <f>AD33+AE33+AF33</f>
        <v>8542644.425266108</v>
      </c>
      <c r="AH33" s="67">
        <f>V33</f>
        <v>90340.67024516792</v>
      </c>
      <c r="AI33" s="67">
        <f>R33*u_healthy+S33*u_early+T33*u_advanced</f>
        <v>81264.98060067718</v>
      </c>
      <c r="AJ33" s="69">
        <f>1/(1+disc_costs)^A33</f>
        <v>0.49193373633950893</v>
      </c>
      <c r="AK33" s="69">
        <f>1/(1+disc_effects)^A33</f>
        <v>0.49193373633950893</v>
      </c>
      <c r="AL33" s="68">
        <f>AG33*AJ33</f>
        <v>4202414.990341033</v>
      </c>
      <c r="AM33" s="67">
        <f>AI33*AK33</f>
        <v>39976.98554044884</v>
      </c>
      <c r="AN33" s="67">
        <f>AH33*AK33</f>
        <v>44441.62345712095</v>
      </c>
      <c r="AO33" s="64" t="str">
        <f>IF(AND(ABS(V33+U33-cohort_size)&lt;0.000001*cohort_size,MIN(I33:Q33)&gt;=0,MAX(I33:Q33)&lt;=1),"OK","CHECK")</f>
        <v>OK</v>
      </c>
    </row>
    <row r="34">
      <c r="A34" s="63">
        <f>A33+1</f>
        <v>25.0</v>
      </c>
      <c r="B34" s="63">
        <f>start_age+A34</f>
        <v>65.0</v>
      </c>
      <c r="C34" s="64" t="str">
        <f>INDEX(age_band_label,MATCH(B34,age_band_start,1))</f>
        <v>65-69</v>
      </c>
      <c r="D34" s="65">
        <f>INDEX(p_background_death,MATCH(B34,age_band_start,1))</f>
        <v>0.013</v>
      </c>
      <c r="E34" s="65">
        <f>INDEX(p_cancer_onset,MATCH(B34,age_band_start,1))</f>
        <v>0.0015</v>
      </c>
      <c r="F34" s="63">
        <f>IF(AND($B$3="Yes",B34&gt;=$E$3,B34&lt;=$H$3),1,0)</f>
        <v>1.0</v>
      </c>
      <c r="G34" s="66">
        <f>F34*screen_participation</f>
        <v>0.6</v>
      </c>
      <c r="H34" s="65">
        <f>1-(1-p_detect_symptoms)*(1-G34*screen_sensitivity)</f>
        <v>0.47799999999999987</v>
      </c>
      <c r="I34" s="65">
        <f>1-J34-K34</f>
        <v>0.9855195</v>
      </c>
      <c r="J34" s="65">
        <f>(1-D34)*E34</f>
        <v>0.0014805</v>
      </c>
      <c r="K34" s="65">
        <f>D34</f>
        <v>0.013</v>
      </c>
      <c r="L34" s="65">
        <f>(1-D34)*H34*p_cure_early</f>
        <v>0.4246073999999999</v>
      </c>
      <c r="M34" s="65">
        <f>(1-D34)*(1-H34)*(1-p_progression)</f>
        <v>0.3864105000000001</v>
      </c>
      <c r="N34" s="65">
        <f>(1-D34)*(H34*(1-p_cure_early)+(1-H34)*p_progression)</f>
        <v>0.1759821</v>
      </c>
      <c r="O34" s="65">
        <f>D34</f>
        <v>0.013</v>
      </c>
      <c r="P34" s="65">
        <f>1-Q34</f>
        <v>0.74025</v>
      </c>
      <c r="Q34" s="65">
        <f>1-(1-D34)*(1-p_death_advanced)</f>
        <v>0.25975000000000004</v>
      </c>
      <c r="R34" s="67">
        <f>R33*I33+S33*L33</f>
        <v>89288.08614812042</v>
      </c>
      <c r="S34" s="67">
        <f>R33*J33+S33*M33</f>
        <v>161.08854283859677</v>
      </c>
      <c r="T34" s="67">
        <f>S33*N33+T33*P33</f>
        <v>99.85461078472648</v>
      </c>
      <c r="U34" s="67">
        <f>U33+R33*K33+S33*O33+T33*Q33</f>
        <v>10450.970698256306</v>
      </c>
      <c r="V34" s="67">
        <f>R34+S34+T34</f>
        <v>89549.02930174374</v>
      </c>
      <c r="W34" s="67">
        <f>R34*J34</f>
        <v>132.19101154229227</v>
      </c>
      <c r="X34" s="67">
        <f>S34*(1-D34)*H34</f>
        <v>75.9993192716502</v>
      </c>
      <c r="Y34" s="67">
        <f>S34*(1-D34)*(1-H34)*p_progression</f>
        <v>20.748768127511205</v>
      </c>
      <c r="Z34" s="67">
        <f>X34+Y34</f>
        <v>96.74808739916139</v>
      </c>
      <c r="AA34" s="67">
        <f>T34*(1-D34)*p_death_advanced</f>
        <v>24.639125211131258</v>
      </c>
      <c r="AB34" s="67">
        <f>(R34+S34)*G34</f>
        <v>53669.504814575404</v>
      </c>
      <c r="AC34" s="67">
        <f>G34*(R34*(1-screen_specificity)+S34*screen_sensitivity)</f>
        <v>3817.7568062132655</v>
      </c>
      <c r="AD34" s="68">
        <f>AB34*cost_screen_test+AC34*cost_followup_test</f>
        <v>5427841.950650527</v>
      </c>
      <c r="AE34" s="68">
        <f>X34*cost_early_treatment</f>
        <v>1139989.789074753</v>
      </c>
      <c r="AF34" s="68">
        <f>T34*cost_advanced_year</f>
        <v>1997092.2156945295</v>
      </c>
      <c r="AG34" s="68">
        <f>AD34+AE34+AF34</f>
        <v>8564923.95541981</v>
      </c>
      <c r="AH34" s="67">
        <f>V34</f>
        <v>89549.02930174374</v>
      </c>
      <c r="AI34" s="67">
        <f>R34*u_healthy+S34*u_early+T34*u_advanced</f>
        <v>80551.12283065279</v>
      </c>
      <c r="AJ34" s="69">
        <f>1/(1+disc_costs)^A34</f>
        <v>0.47760556926165915</v>
      </c>
      <c r="AK34" s="69">
        <f>1/(1+disc_effects)^A34</f>
        <v>0.47760556926165915</v>
      </c>
      <c r="AL34" s="68">
        <f>AG34*AJ34</f>
        <v>4090655.3814111</v>
      </c>
      <c r="AM34" s="67">
        <f>AI34*AK34</f>
        <v>38471.664874199756</v>
      </c>
      <c r="AN34" s="67">
        <f>AH34*AK34</f>
        <v>42769.11511648831</v>
      </c>
      <c r="AO34" s="64" t="str">
        <f>IF(AND(ABS(V34+U34-cohort_size)&lt;0.000001*cohort_size,MIN(I34:Q34)&gt;=0,MAX(I34:Q34)&lt;=1),"OK","CHECK")</f>
        <v>OK</v>
      </c>
    </row>
    <row r="35">
      <c r="A35" s="63">
        <f>A34+1</f>
        <v>26.0</v>
      </c>
      <c r="B35" s="63">
        <f>start_age+A35</f>
        <v>66.0</v>
      </c>
      <c r="C35" s="64" t="str">
        <f>INDEX(age_band_label,MATCH(B35,age_band_start,1))</f>
        <v>65-69</v>
      </c>
      <c r="D35" s="65">
        <f>INDEX(p_background_death,MATCH(B35,age_band_start,1))</f>
        <v>0.013</v>
      </c>
      <c r="E35" s="65">
        <f>INDEX(p_cancer_onset,MATCH(B35,age_band_start,1))</f>
        <v>0.0015</v>
      </c>
      <c r="F35" s="63">
        <f>IF(AND($B$3="Yes",B35&gt;=$E$3,B35&lt;=$H$3),1,0)</f>
        <v>1.0</v>
      </c>
      <c r="G35" s="66">
        <f>F35*screen_participation</f>
        <v>0.6</v>
      </c>
      <c r="H35" s="65">
        <f>1-(1-p_detect_symptoms)*(1-G35*screen_sensitivity)</f>
        <v>0.47799999999999987</v>
      </c>
      <c r="I35" s="65">
        <f>1-J35-K35</f>
        <v>0.9855195</v>
      </c>
      <c r="J35" s="65">
        <f>(1-D35)*E35</f>
        <v>0.0014805</v>
      </c>
      <c r="K35" s="65">
        <f>D35</f>
        <v>0.013</v>
      </c>
      <c r="L35" s="65">
        <f>(1-D35)*H35*p_cure_early</f>
        <v>0.4246073999999999</v>
      </c>
      <c r="M35" s="65">
        <f>(1-D35)*(1-H35)*(1-p_progression)</f>
        <v>0.3864105000000001</v>
      </c>
      <c r="N35" s="65">
        <f>(1-D35)*(H35*(1-p_cure_early)+(1-H35)*p_progression)</f>
        <v>0.1759821</v>
      </c>
      <c r="O35" s="65">
        <f>D35</f>
        <v>0.013</v>
      </c>
      <c r="P35" s="65">
        <f>1-Q35</f>
        <v>0.74025</v>
      </c>
      <c r="Q35" s="65">
        <f>1-(1-D35)*(1-p_death_advanced)</f>
        <v>0.25975000000000004</v>
      </c>
      <c r="R35" s="67">
        <f>R34*I34+S34*L34</f>
        <v>88063.54940399705</v>
      </c>
      <c r="S35" s="67">
        <f>R34*J34+S34*M34</f>
        <v>194.4373159248259</v>
      </c>
      <c r="T35" s="67">
        <f>S34*N34+T34*P34</f>
        <v>102.26607568807</v>
      </c>
      <c r="U35" s="67">
        <f>U34+R34*K34+S34*O34+T34*Q34</f>
        <v>11639.747204390103</v>
      </c>
      <c r="V35" s="67">
        <f>R35+S35+T35</f>
        <v>88360.25279560994</v>
      </c>
      <c r="W35" s="67">
        <f>R35*J35</f>
        <v>130.37808489261764</v>
      </c>
      <c r="X35" s="67">
        <f>S35*(1-D35)*H35</f>
        <v>91.73280353090989</v>
      </c>
      <c r="Y35" s="67">
        <f>S35*(1-D35)*(1-H35)*p_progression</f>
        <v>25.044206821723318</v>
      </c>
      <c r="Z35" s="67">
        <f>X35+Y35</f>
        <v>116.77701035263321</v>
      </c>
      <c r="AA35" s="67">
        <f>T35*(1-D35)*p_death_advanced</f>
        <v>25.23415417603127</v>
      </c>
      <c r="AB35" s="67">
        <f>(R35+S35)*G35</f>
        <v>52954.79203195312</v>
      </c>
      <c r="AC35" s="67">
        <f>G35*(R35*(1-screen_specificity)+S35*screen_sensitivity)</f>
        <v>3780.3327476563004</v>
      </c>
      <c r="AD35" s="68">
        <f>AB35*cost_screen_test+AC35*cost_followup_test</f>
        <v>5368976.508614894</v>
      </c>
      <c r="AE35" s="68">
        <f>X35*cost_early_treatment</f>
        <v>1375992.0529636485</v>
      </c>
      <c r="AF35" s="68">
        <f>T35*cost_advanced_year</f>
        <v>2045321.5137614</v>
      </c>
      <c r="AG35" s="68">
        <f>AD35+AE35+AF35</f>
        <v>8790290.075339941</v>
      </c>
      <c r="AH35" s="67">
        <f>V35</f>
        <v>88360.25279560994</v>
      </c>
      <c r="AI35" s="67">
        <f>R35*u_healthy+S35*u_early+T35*u_advanced</f>
        <v>79478.71252376189</v>
      </c>
      <c r="AJ35" s="69">
        <f>1/(1+disc_costs)^A35</f>
        <v>0.463694727438504</v>
      </c>
      <c r="AK35" s="69">
        <f>1/(1+disc_effects)^A35</f>
        <v>0.463694727438504</v>
      </c>
      <c r="AL35" s="68">
        <f>AG35*AJ35</f>
        <v>4076011.1605901406</v>
      </c>
      <c r="AM35" s="67">
        <f>AI35*AK35</f>
        <v>36853.859940868984</v>
      </c>
      <c r="AN35" s="67">
        <f>AH35*AK35</f>
        <v>40972.18333645766</v>
      </c>
      <c r="AO35" s="64" t="str">
        <f>IF(AND(ABS(V35+U35-cohort_size)&lt;0.000001*cohort_size,MIN(I35:Q35)&gt;=0,MAX(I35:Q35)&lt;=1),"OK","CHECK")</f>
        <v>OK</v>
      </c>
    </row>
    <row r="36">
      <c r="A36" s="63">
        <f>A35+1</f>
        <v>27.0</v>
      </c>
      <c r="B36" s="63">
        <f>start_age+A36</f>
        <v>67.0</v>
      </c>
      <c r="C36" s="64" t="str">
        <f>INDEX(age_band_label,MATCH(B36,age_band_start,1))</f>
        <v>65-69</v>
      </c>
      <c r="D36" s="65">
        <f>INDEX(p_background_death,MATCH(B36,age_band_start,1))</f>
        <v>0.013</v>
      </c>
      <c r="E36" s="65">
        <f>INDEX(p_cancer_onset,MATCH(B36,age_band_start,1))</f>
        <v>0.0015</v>
      </c>
      <c r="F36" s="63">
        <f>IF(AND($B$3="Yes",B36&gt;=$E$3,B36&lt;=$H$3),1,0)</f>
        <v>1.0</v>
      </c>
      <c r="G36" s="66">
        <f>F36*screen_participation</f>
        <v>0.6</v>
      </c>
      <c r="H36" s="65">
        <f>1-(1-p_detect_symptoms)*(1-G36*screen_sensitivity)</f>
        <v>0.47799999999999987</v>
      </c>
      <c r="I36" s="65">
        <f>1-J36-K36</f>
        <v>0.9855195</v>
      </c>
      <c r="J36" s="65">
        <f>(1-D36)*E36</f>
        <v>0.0014805</v>
      </c>
      <c r="K36" s="65">
        <f>D36</f>
        <v>0.013</v>
      </c>
      <c r="L36" s="65">
        <f>(1-D36)*H36*p_cure_early</f>
        <v>0.4246073999999999</v>
      </c>
      <c r="M36" s="65">
        <f>(1-D36)*(1-H36)*(1-p_progression)</f>
        <v>0.3864105000000001</v>
      </c>
      <c r="N36" s="65">
        <f>(1-D36)*(H36*(1-p_cure_early)+(1-H36)*p_progression)</f>
        <v>0.1759821</v>
      </c>
      <c r="O36" s="65">
        <f>D36</f>
        <v>0.013</v>
      </c>
      <c r="P36" s="65">
        <f>1-Q36</f>
        <v>0.74025</v>
      </c>
      <c r="Q36" s="65">
        <f>1-(1-D36)*(1-p_death_advanced)</f>
        <v>0.25975000000000004</v>
      </c>
      <c r="R36" s="67">
        <f>R35*I35+S35*L35</f>
        <v>86870.90470003028</v>
      </c>
      <c r="S36" s="67">
        <f>R35*J35+S35*M35</f>
        <v>205.51070535778757</v>
      </c>
      <c r="T36" s="67">
        <f>S35*N35+T35*P35</f>
        <v>109.91994970290813</v>
      </c>
      <c r="U36" s="67">
        <f>U35+R35*K35+S35*O35+T35*Q35</f>
        <v>12813.664644909064</v>
      </c>
      <c r="V36" s="67">
        <f>R36+S36+T36</f>
        <v>87186.33535509097</v>
      </c>
      <c r="W36" s="67">
        <f>R36*J36</f>
        <v>128.61237440839483</v>
      </c>
      <c r="X36" s="67">
        <f>S36*(1-D36)*H36</f>
        <v>96.95707363792914</v>
      </c>
      <c r="Y36" s="67">
        <f>S36*(1-D36)*(1-H36)*p_progression</f>
        <v>26.4704981375518</v>
      </c>
      <c r="Z36" s="67">
        <f>X36+Y36</f>
        <v>123.42757177548094</v>
      </c>
      <c r="AA36" s="67">
        <f>T36*(1-D36)*p_death_advanced</f>
        <v>27.12274758919258</v>
      </c>
      <c r="AB36" s="67">
        <f>(R36+S36)*G36</f>
        <v>52245.849243232835</v>
      </c>
      <c r="AC36" s="67">
        <f>G36*(R36*(1-screen_specificity)+S36*screen_sensitivity)</f>
        <v>3734.8924936515396</v>
      </c>
      <c r="AD36" s="68">
        <f>AB36*cost_screen_test+AC36*cost_followup_test</f>
        <v>5302267.970948525</v>
      </c>
      <c r="AE36" s="68">
        <f>X36*cost_early_treatment</f>
        <v>1454356.104568937</v>
      </c>
      <c r="AF36" s="68">
        <f>T36*cost_advanced_year</f>
        <v>2198398.9940581624</v>
      </c>
      <c r="AG36" s="68">
        <f>AD36+AE36+AF36</f>
        <v>8955023.069575625</v>
      </c>
      <c r="AH36" s="67">
        <f>V36</f>
        <v>87186.33535509097</v>
      </c>
      <c r="AI36" s="67">
        <f>R36*u_healthy+S36*u_early+T36*u_advanced</f>
        <v>78418.95430191797</v>
      </c>
      <c r="AJ36" s="69">
        <f>1/(1+disc_costs)^A36</f>
        <v>0.4501890557655378</v>
      </c>
      <c r="AK36" s="69">
        <f>1/(1+disc_effects)^A36</f>
        <v>0.4501890557655378</v>
      </c>
      <c r="AL36" s="68">
        <f>AG36*AJ36</f>
        <v>4031453.3800508585</v>
      </c>
      <c r="AM36" s="67">
        <f>AI36*AK36</f>
        <v>35303.35499130131</v>
      </c>
      <c r="AN36" s="67">
        <f>AH36*AK36</f>
        <v>39250.33398916593</v>
      </c>
      <c r="AO36" s="64" t="str">
        <f>IF(AND(ABS(V36+U36-cohort_size)&lt;0.000001*cohort_size,MIN(I36:Q36)&gt;=0,MAX(I36:Q36)&lt;=1),"OK","CHECK")</f>
        <v>OK</v>
      </c>
    </row>
    <row r="37">
      <c r="A37" s="63">
        <f>A36+1</f>
        <v>28.0</v>
      </c>
      <c r="B37" s="63">
        <f>start_age+A37</f>
        <v>68.0</v>
      </c>
      <c r="C37" s="64" t="str">
        <f>INDEX(age_band_label,MATCH(B37,age_band_start,1))</f>
        <v>65-69</v>
      </c>
      <c r="D37" s="65">
        <f>INDEX(p_background_death,MATCH(B37,age_band_start,1))</f>
        <v>0.013</v>
      </c>
      <c r="E37" s="65">
        <f>INDEX(p_cancer_onset,MATCH(B37,age_band_start,1))</f>
        <v>0.0015</v>
      </c>
      <c r="F37" s="63">
        <f>IF(AND($B$3="Yes",B37&gt;=$E$3,B37&lt;=$H$3),1,0)</f>
        <v>1.0</v>
      </c>
      <c r="G37" s="66">
        <f>F37*screen_participation</f>
        <v>0.6</v>
      </c>
      <c r="H37" s="65">
        <f>1-(1-p_detect_symptoms)*(1-G37*screen_sensitivity)</f>
        <v>0.47799999999999987</v>
      </c>
      <c r="I37" s="65">
        <f>1-J37-K37</f>
        <v>0.9855195</v>
      </c>
      <c r="J37" s="65">
        <f>(1-D37)*E37</f>
        <v>0.0014805</v>
      </c>
      <c r="K37" s="65">
        <f>D37</f>
        <v>0.013</v>
      </c>
      <c r="L37" s="65">
        <f>(1-D37)*H37*p_cure_early</f>
        <v>0.4246073999999999</v>
      </c>
      <c r="M37" s="65">
        <f>(1-D37)*(1-H37)*(1-p_progression)</f>
        <v>0.3864105000000001</v>
      </c>
      <c r="N37" s="65">
        <f>(1-D37)*(H37*(1-p_cure_early)+(1-H37)*p_progression)</f>
        <v>0.1759821</v>
      </c>
      <c r="O37" s="65">
        <f>D37</f>
        <v>0.013</v>
      </c>
      <c r="P37" s="65">
        <f>1-Q37</f>
        <v>0.74025</v>
      </c>
      <c r="Q37" s="65">
        <f>1-(1-D37)*(1-p_death_advanced)</f>
        <v>0.25975000000000004</v>
      </c>
      <c r="R37" s="67">
        <f>R36*I36+S36*L36</f>
        <v>85700.23193079562</v>
      </c>
      <c r="S37" s="67">
        <f>R36*J36+S36*M36</f>
        <v>208.02386882105023</v>
      </c>
      <c r="T37" s="67">
        <f>S36*N36+T36*P36</f>
        <v>117.53444826892245</v>
      </c>
      <c r="U37" s="67">
        <f>U36+R36*K36+S36*O36+T36*Q36</f>
        <v>13974.209752114439</v>
      </c>
      <c r="V37" s="67">
        <f>R37+S37+T37</f>
        <v>86025.7902478856</v>
      </c>
      <c r="W37" s="67">
        <f>R37*J37</f>
        <v>126.87919337354292</v>
      </c>
      <c r="X37" s="67">
        <f>S37*(1-D37)*H37</f>
        <v>98.14274897560797</v>
      </c>
      <c r="Y37" s="67">
        <f>S37*(1-D37)*(1-H37)*p_progression</f>
        <v>26.79420238769215</v>
      </c>
      <c r="Z37" s="67">
        <f>X37+Y37</f>
        <v>124.93695136330012</v>
      </c>
      <c r="AA37" s="67">
        <f>T37*(1-D37)*p_death_advanced</f>
        <v>29.001625110356613</v>
      </c>
      <c r="AB37" s="67">
        <f>(R37+S37)*G37</f>
        <v>51544.95347977</v>
      </c>
      <c r="AC37" s="67">
        <f>G37*(R37*(1-screen_specificity)+S37*screen_sensitivity)</f>
        <v>3686.7797659982543</v>
      </c>
      <c r="AD37" s="68">
        <f>AB37*cost_screen_test+AC37*cost_followup_test</f>
        <v>5233128.370391355</v>
      </c>
      <c r="AE37" s="68">
        <f>X37*cost_early_treatment</f>
        <v>1472141.2346341196</v>
      </c>
      <c r="AF37" s="68">
        <f>T37*cost_advanced_year</f>
        <v>2350688.965378449</v>
      </c>
      <c r="AG37" s="68">
        <f>AD37+AE37+AF37</f>
        <v>9055958.570403922</v>
      </c>
      <c r="AH37" s="67">
        <f>V37</f>
        <v>86025.7902478856</v>
      </c>
      <c r="AI37" s="67">
        <f>R37*u_healthy+S37*u_early+T37*u_advanced</f>
        <v>77371.67297276187</v>
      </c>
      <c r="AJ37" s="69">
        <f>1/(1+disc_costs)^A37</f>
        <v>0.4370767531704251</v>
      </c>
      <c r="AK37" s="69">
        <f>1/(1+disc_effects)^A37</f>
        <v>0.4370767531704251</v>
      </c>
      <c r="AL37" s="68">
        <f>AG37*AJ37</f>
        <v>3958148.968798031</v>
      </c>
      <c r="AM37" s="67">
        <f>AI37*AK37</f>
        <v>33817.35961029869</v>
      </c>
      <c r="AN37" s="67">
        <f>AH37*AK37</f>
        <v>37599.87309046586</v>
      </c>
      <c r="AO37" s="64" t="str">
        <f>IF(AND(ABS(V37+U37-cohort_size)&lt;0.000001*cohort_size,MIN(I37:Q37)&gt;=0,MAX(I37:Q37)&lt;=1),"OK","CHECK")</f>
        <v>OK</v>
      </c>
    </row>
    <row r="38">
      <c r="A38" s="63">
        <f>A37+1</f>
        <v>29.0</v>
      </c>
      <c r="B38" s="63">
        <f>start_age+A38</f>
        <v>69.0</v>
      </c>
      <c r="C38" s="64" t="str">
        <f>INDEX(age_band_label,MATCH(B38,age_band_start,1))</f>
        <v>65-69</v>
      </c>
      <c r="D38" s="65">
        <f>INDEX(p_background_death,MATCH(B38,age_band_start,1))</f>
        <v>0.013</v>
      </c>
      <c r="E38" s="65">
        <f>INDEX(p_cancer_onset,MATCH(B38,age_band_start,1))</f>
        <v>0.0015</v>
      </c>
      <c r="F38" s="63">
        <f>IF(AND($B$3="Yes",B38&gt;=$E$3,B38&lt;=$H$3),1,0)</f>
        <v>1.0</v>
      </c>
      <c r="G38" s="66">
        <f>F38*screen_participation</f>
        <v>0.6</v>
      </c>
      <c r="H38" s="65">
        <f>1-(1-p_detect_symptoms)*(1-G38*screen_sensitivity)</f>
        <v>0.47799999999999987</v>
      </c>
      <c r="I38" s="65">
        <f>1-J38-K38</f>
        <v>0.9855195</v>
      </c>
      <c r="J38" s="65">
        <f>(1-D38)*E38</f>
        <v>0.0014805</v>
      </c>
      <c r="K38" s="65">
        <f>D38</f>
        <v>0.013</v>
      </c>
      <c r="L38" s="65">
        <f>(1-D38)*H38*p_cure_early</f>
        <v>0.4246073999999999</v>
      </c>
      <c r="M38" s="65">
        <f>(1-D38)*(1-H38)*(1-p_progression)</f>
        <v>0.3864105000000001</v>
      </c>
      <c r="N38" s="65">
        <f>(1-D38)*(H38*(1-p_cure_early)+(1-H38)*p_progression)</f>
        <v>0.1759821</v>
      </c>
      <c r="O38" s="65">
        <f>D38</f>
        <v>0.013</v>
      </c>
      <c r="P38" s="65">
        <f>1-Q38</f>
        <v>0.74025</v>
      </c>
      <c r="Q38" s="65">
        <f>1-(1-D38)*(1-p_death_advanced)</f>
        <v>0.25975000000000004</v>
      </c>
      <c r="R38" s="67">
        <f>R37*I37+S37*L37</f>
        <v>84547.57819639979</v>
      </c>
      <c r="S38" s="67">
        <f>R37*J37+S37*M37</f>
        <v>207.26180053661938</v>
      </c>
      <c r="T38" s="67">
        <f>S37*N37+T37*P37</f>
        <v>123.61335261632279</v>
      </c>
      <c r="U38" s="67">
        <f>U37+R37*K37+S37*O37+T37*Q37</f>
        <v>15121.546650447308</v>
      </c>
      <c r="V38" s="67">
        <f>R38+S38+T38</f>
        <v>84878.45334955273</v>
      </c>
      <c r="W38" s="67">
        <f>R38*J38</f>
        <v>125.17268951976989</v>
      </c>
      <c r="X38" s="67">
        <f>S38*(1-D38)*H38</f>
        <v>97.78321582796949</v>
      </c>
      <c r="Y38" s="67">
        <f>S38*(1-D38)*(1-H38)*p_progression</f>
        <v>26.69604532541846</v>
      </c>
      <c r="Z38" s="67">
        <f>X38+Y38</f>
        <v>124.47926115338794</v>
      </c>
      <c r="AA38" s="67">
        <f>T38*(1-D38)*p_death_advanced</f>
        <v>30.501594758077648</v>
      </c>
      <c r="AB38" s="67">
        <f>(R38+S38)*G38</f>
        <v>50852.90399816185</v>
      </c>
      <c r="AC38" s="67">
        <f>G38*(R38*(1-screen_specificity)+S38*screen_sensitivity)</f>
        <v>3638.048240474169</v>
      </c>
      <c r="AD38" s="68">
        <f>AB38*cost_screen_test+AC38*cost_followup_test</f>
        <v>5163635.360419024</v>
      </c>
      <c r="AE38" s="68">
        <f>X38*cost_early_treatment</f>
        <v>1466748.2374195424</v>
      </c>
      <c r="AF38" s="68">
        <f>T38*cost_advanced_year</f>
        <v>2472267.0523264557</v>
      </c>
      <c r="AG38" s="68">
        <f>AD38+AE38+AF38</f>
        <v>9102650.650165021</v>
      </c>
      <c r="AH38" s="67">
        <f>V38</f>
        <v>84878.45334955273</v>
      </c>
      <c r="AI38" s="67">
        <f>R38*u_healthy+S38*u_early+T38*u_advanced</f>
        <v>76336.98025115492</v>
      </c>
      <c r="AJ38" s="69">
        <f>1/(1+disc_costs)^A38</f>
        <v>0.42434636230138356</v>
      </c>
      <c r="AK38" s="69">
        <f>1/(1+disc_effects)^A38</f>
        <v>0.42434636230138356</v>
      </c>
      <c r="AL38" s="68">
        <f>AG38*AJ38</f>
        <v>3862676.6906978507</v>
      </c>
      <c r="AM38" s="67">
        <f>AI38*AK38</f>
        <v>32393.31987865015</v>
      </c>
      <c r="AN38" s="67">
        <f>AH38*AK38</f>
        <v>36017.86291665039</v>
      </c>
      <c r="AO38" s="64" t="str">
        <f>IF(AND(ABS(V38+U38-cohort_size)&lt;0.000001*cohort_size,MIN(I38:Q38)&gt;=0,MAX(I38:Q38)&lt;=1),"OK","CHECK")</f>
        <v>OK</v>
      </c>
    </row>
    <row r="39">
      <c r="A39" s="63">
        <f>A38+1</f>
        <v>30.0</v>
      </c>
      <c r="B39" s="63">
        <f>start_age+A39</f>
        <v>70.0</v>
      </c>
      <c r="C39" s="64" t="str">
        <f>INDEX(age_band_label,MATCH(B39,age_band_start,1))</f>
        <v>70-74</v>
      </c>
      <c r="D39" s="65">
        <f>INDEX(p_background_death,MATCH(B39,age_band_start,1))</f>
        <v>0.021</v>
      </c>
      <c r="E39" s="65">
        <f>INDEX(p_cancer_onset,MATCH(B39,age_band_start,1))</f>
        <v>0.0018</v>
      </c>
      <c r="F39" s="63">
        <f>IF(AND($B$3="Yes",B39&gt;=$E$3,B39&lt;=$H$3),1,0)</f>
        <v>1.0</v>
      </c>
      <c r="G39" s="66">
        <f>F39*screen_participation</f>
        <v>0.6</v>
      </c>
      <c r="H39" s="65">
        <f>1-(1-p_detect_symptoms)*(1-G39*screen_sensitivity)</f>
        <v>0.47799999999999987</v>
      </c>
      <c r="I39" s="65">
        <f>1-J39-K39</f>
        <v>0.9772377999999999</v>
      </c>
      <c r="J39" s="65">
        <f>(1-D39)*E39</f>
        <v>0.0017622</v>
      </c>
      <c r="K39" s="65">
        <f>D39</f>
        <v>0.021</v>
      </c>
      <c r="L39" s="65">
        <f>(1-D39)*H39*p_cure_early</f>
        <v>0.4211657999999999</v>
      </c>
      <c r="M39" s="65">
        <f>(1-D39)*(1-H39)*(1-p_progression)</f>
        <v>0.3832785000000001</v>
      </c>
      <c r="N39" s="65">
        <f>(1-D39)*(H39*(1-p_cure_early)+(1-H39)*p_progression)</f>
        <v>0.1745557</v>
      </c>
      <c r="O39" s="65">
        <f>D39</f>
        <v>0.021</v>
      </c>
      <c r="P39" s="65">
        <f>1-Q39</f>
        <v>0.73425</v>
      </c>
      <c r="Q39" s="65">
        <f>1-(1-D39)*(1-p_death_advanced)</f>
        <v>0.26575000000000004</v>
      </c>
      <c r="R39" s="67">
        <f>R38*I38+S38*L38</f>
        <v>83411.29188457198</v>
      </c>
      <c r="S39" s="67">
        <f>R38*J38+S38*M38</f>
        <v>205.2608254960253</v>
      </c>
      <c r="T39" s="67">
        <f>S38*N38+T38*P38</f>
        <v>127.97915118244833</v>
      </c>
      <c r="U39" s="67">
        <f>U38+R38*K38+S38*O38+T38*Q38</f>
        <v>16255.468138749571</v>
      </c>
      <c r="V39" s="67">
        <f>R39+S39+T39</f>
        <v>83744.53186125045</v>
      </c>
      <c r="W39" s="67">
        <f>R39*J39</f>
        <v>146.98737855899276</v>
      </c>
      <c r="X39" s="67">
        <f>S39*(1-D39)*H39</f>
        <v>96.05426642077097</v>
      </c>
      <c r="Y39" s="67">
        <f>S39*(1-D39)*(1-H39)*p_progression</f>
        <v>26.22402043495945</v>
      </c>
      <c r="Z39" s="67">
        <f>X39+Y39</f>
        <v>122.27828685573041</v>
      </c>
      <c r="AA39" s="67">
        <f>T39*(1-D39)*p_death_advanced</f>
        <v>31.32289725190423</v>
      </c>
      <c r="AB39" s="67">
        <f>(R39+S39)*G39</f>
        <v>50169.9316260408</v>
      </c>
      <c r="AC39" s="67">
        <f>G39*(R39*(1-screen_specificity)+S39*screen_sensitivity)</f>
        <v>3589.4838058603514</v>
      </c>
      <c r="AD39" s="68">
        <f>AB39*cost_screen_test+AC39*cost_followup_test</f>
        <v>5094581.754641576</v>
      </c>
      <c r="AE39" s="68">
        <f>X39*cost_early_treatment</f>
        <v>1440813.9963115645</v>
      </c>
      <c r="AF39" s="68">
        <f>T39*cost_advanced_year</f>
        <v>2559583.0236489666</v>
      </c>
      <c r="AG39" s="68">
        <f>AD39+AE39+AF39</f>
        <v>9094978.774602106</v>
      </c>
      <c r="AH39" s="67">
        <f>V39</f>
        <v>83744.53186125045</v>
      </c>
      <c r="AI39" s="67">
        <f>R39*u_healthy+S39*u_early+T39*u_advanced</f>
        <v>75315.02293093674</v>
      </c>
      <c r="AJ39" s="69">
        <f>1/(1+disc_costs)^A39</f>
        <v>0.41198675951590635</v>
      </c>
      <c r="AK39" s="69">
        <f>1/(1+disc_effects)^A39</f>
        <v>0.41198675951590635</v>
      </c>
      <c r="AL39" s="68">
        <f>AG39*AJ39</f>
        <v>3747010.8332142704</v>
      </c>
      <c r="AM39" s="67">
        <f>AI39*AK39</f>
        <v>31028.792240182807</v>
      </c>
      <c r="AN39" s="67">
        <f>AH39*AK39</f>
        <v>34501.638308693146</v>
      </c>
      <c r="AO39" s="64" t="str">
        <f>IF(AND(ABS(V39+U39-cohort_size)&lt;0.000001*cohort_size,MIN(I39:Q39)&gt;=0,MAX(I39:Q39)&lt;=1),"OK","CHECK")</f>
        <v>OK</v>
      </c>
    </row>
    <row r="40">
      <c r="A40" s="63">
        <f>A39+1</f>
        <v>31.0</v>
      </c>
      <c r="B40" s="63">
        <f>start_age+A40</f>
        <v>71.0</v>
      </c>
      <c r="C40" s="64" t="str">
        <f>INDEX(age_band_label,MATCH(B40,age_band_start,1))</f>
        <v>70-74</v>
      </c>
      <c r="D40" s="65">
        <f>INDEX(p_background_death,MATCH(B40,age_band_start,1))</f>
        <v>0.021</v>
      </c>
      <c r="E40" s="65">
        <f>INDEX(p_cancer_onset,MATCH(B40,age_band_start,1))</f>
        <v>0.0018</v>
      </c>
      <c r="F40" s="63">
        <f>IF(AND($B$3="Yes",B40&gt;=$E$3,B40&lt;=$H$3),1,0)</f>
        <v>1.0</v>
      </c>
      <c r="G40" s="66">
        <f>F40*screen_participation</f>
        <v>0.6</v>
      </c>
      <c r="H40" s="65">
        <f>1-(1-p_detect_symptoms)*(1-G40*screen_sensitivity)</f>
        <v>0.47799999999999987</v>
      </c>
      <c r="I40" s="65">
        <f>1-J40-K40</f>
        <v>0.9772377999999999</v>
      </c>
      <c r="J40" s="65">
        <f>(1-D40)*E40</f>
        <v>0.0017622</v>
      </c>
      <c r="K40" s="65">
        <f>D40</f>
        <v>0.021</v>
      </c>
      <c r="L40" s="65">
        <f>(1-D40)*H40*p_cure_early</f>
        <v>0.4211657999999999</v>
      </c>
      <c r="M40" s="65">
        <f>(1-D40)*(1-H40)*(1-p_progression)</f>
        <v>0.3832785000000001</v>
      </c>
      <c r="N40" s="65">
        <f>(1-D40)*(H40*(1-p_cure_early)+(1-H40)*p_progression)</f>
        <v>0.1745557</v>
      </c>
      <c r="O40" s="65">
        <f>D40</f>
        <v>0.021</v>
      </c>
      <c r="P40" s="65">
        <f>1-Q40</f>
        <v>0.73425</v>
      </c>
      <c r="Q40" s="65">
        <f>1-(1-D40)*(1-p_death_advanced)</f>
        <v>0.26575000000000004</v>
      </c>
      <c r="R40" s="67">
        <f>R39*I39+S39*L39</f>
        <v>81599.11621621567</v>
      </c>
      <c r="S40" s="67">
        <f>R39*J39+S39*M39</f>
        <v>225.6594398638711</v>
      </c>
      <c r="T40" s="67">
        <f>S39*N39+T39*P39</f>
        <v>129.79813883274923</v>
      </c>
      <c r="U40" s="67">
        <f>U39+R39*K39+S39*O39+T39*Q39</f>
        <v>18045.426205087737</v>
      </c>
      <c r="V40" s="67">
        <f>R40+S40+T40</f>
        <v>81954.57379491228</v>
      </c>
      <c r="W40" s="67">
        <f>R40*J40</f>
        <v>143.79396259621527</v>
      </c>
      <c r="X40" s="67">
        <f>S40*(1-D40)*H40</f>
        <v>105.60004279757682</v>
      </c>
      <c r="Y40" s="67">
        <f>S40*(1-D40)*(1-H40)*p_progression</f>
        <v>28.83013720728825</v>
      </c>
      <c r="Z40" s="67">
        <f>X40+Y40</f>
        <v>134.43018000486506</v>
      </c>
      <c r="AA40" s="67">
        <f>T40*(1-D40)*p_death_advanced</f>
        <v>31.768094479315373</v>
      </c>
      <c r="AB40" s="67">
        <f>(R40+S40)*G40</f>
        <v>49094.86539364772</v>
      </c>
      <c r="AC40" s="67">
        <f>G40*(R40*(1-screen_specificity)+S40*screen_sensitivity)</f>
        <v>3521.9398458238816</v>
      </c>
      <c r="AD40" s="68">
        <f>AB40*cost_screen_test+AC40*cost_followup_test</f>
        <v>4994785.807633313</v>
      </c>
      <c r="AE40" s="68">
        <f>X40*cost_early_treatment</f>
        <v>1584000.6419636523</v>
      </c>
      <c r="AF40" s="68">
        <f>T40*cost_advanced_year</f>
        <v>2595962.776654985</v>
      </c>
      <c r="AG40" s="68">
        <f>AD40+AE40+AF40</f>
        <v>9174749.22625195</v>
      </c>
      <c r="AH40" s="67">
        <f>V40</f>
        <v>81954.57379491228</v>
      </c>
      <c r="AI40" s="67">
        <f>R40*u_healthy+S40*u_early+T40*u_advanced</f>
        <v>73702.4040948364</v>
      </c>
      <c r="AJ40" s="69">
        <f>1/(1+disc_costs)^A40</f>
        <v>0.3999871451610742</v>
      </c>
      <c r="AK40" s="69">
        <f>1/(1+disc_effects)^A40</f>
        <v>0.3999871451610742</v>
      </c>
      <c r="AL40" s="68">
        <f>AG40*AJ40</f>
        <v>3669781.750577292</v>
      </c>
      <c r="AM40" s="67">
        <f>AI40*AK40</f>
        <v>29480.014205401476</v>
      </c>
      <c r="AN40" s="67">
        <f>AH40*AK40</f>
        <v>32780.77600511955</v>
      </c>
      <c r="AO40" s="64" t="str">
        <f>IF(AND(ABS(V40+U40-cohort_size)&lt;0.000001*cohort_size,MIN(I40:Q40)&gt;=0,MAX(I40:Q40)&lt;=1),"OK","CHECK")</f>
        <v>OK</v>
      </c>
    </row>
    <row r="41">
      <c r="A41" s="63">
        <f>A40+1</f>
        <v>32.0</v>
      </c>
      <c r="B41" s="63">
        <f>start_age+A41</f>
        <v>72.0</v>
      </c>
      <c r="C41" s="64" t="str">
        <f>INDEX(age_band_label,MATCH(B41,age_band_start,1))</f>
        <v>70-74</v>
      </c>
      <c r="D41" s="65">
        <f>INDEX(p_background_death,MATCH(B41,age_band_start,1))</f>
        <v>0.021</v>
      </c>
      <c r="E41" s="65">
        <f>INDEX(p_cancer_onset,MATCH(B41,age_band_start,1))</f>
        <v>0.0018</v>
      </c>
      <c r="F41" s="63">
        <f>IF(AND($B$3="Yes",B41&gt;=$E$3,B41&lt;=$H$3),1,0)</f>
        <v>1.0</v>
      </c>
      <c r="G41" s="66">
        <f>F41*screen_participation</f>
        <v>0.6</v>
      </c>
      <c r="H41" s="65">
        <f>1-(1-p_detect_symptoms)*(1-G41*screen_sensitivity)</f>
        <v>0.47799999999999987</v>
      </c>
      <c r="I41" s="65">
        <f>1-J41-K41</f>
        <v>0.9772377999999999</v>
      </c>
      <c r="J41" s="65">
        <f>(1-D41)*E41</f>
        <v>0.0017622</v>
      </c>
      <c r="K41" s="65">
        <f>D41</f>
        <v>0.021</v>
      </c>
      <c r="L41" s="65">
        <f>(1-D41)*H41*p_cure_early</f>
        <v>0.4211657999999999</v>
      </c>
      <c r="M41" s="65">
        <f>(1-D41)*(1-H41)*(1-p_progression)</f>
        <v>0.3832785000000001</v>
      </c>
      <c r="N41" s="65">
        <f>(1-D41)*(H41*(1-p_cure_early)+(1-H41)*p_progression)</f>
        <v>0.1745557</v>
      </c>
      <c r="O41" s="65">
        <f>D41</f>
        <v>0.021</v>
      </c>
      <c r="P41" s="65">
        <f>1-Q41</f>
        <v>0.73425</v>
      </c>
      <c r="Q41" s="65">
        <f>1-(1-D41)*(1-p_death_advanced)</f>
        <v>0.26575000000000004</v>
      </c>
      <c r="R41" s="67">
        <f>R40*I40+S40*L40</f>
        <v>79836.78085159675</v>
      </c>
      <c r="S41" s="67">
        <f>R40*J40+S40*M40</f>
        <v>230.28437421808002</v>
      </c>
      <c r="T41" s="67">
        <f>S40*N40+T40*P40</f>
        <v>134.69442492499203</v>
      </c>
      <c r="U41" s="67">
        <f>U40+R40*K40+S40*O40+T40*Q40</f>
        <v>19798.24034926021</v>
      </c>
      <c r="V41" s="67">
        <f>R41+S41+T41</f>
        <v>80201.75965073983</v>
      </c>
      <c r="W41" s="67">
        <f>R41*J41</f>
        <v>140.6883752166838</v>
      </c>
      <c r="X41" s="67">
        <f>S41*(1-D41)*H41</f>
        <v>107.76433632784114</v>
      </c>
      <c r="Y41" s="67">
        <f>S41*(1-D41)*(1-H41)*p_progression</f>
        <v>29.4210165079148</v>
      </c>
      <c r="Z41" s="67">
        <f>X41+Y41</f>
        <v>137.18535283575594</v>
      </c>
      <c r="AA41" s="67">
        <f>T41*(1-D41)*p_death_advanced</f>
        <v>32.9664605003918</v>
      </c>
      <c r="AB41" s="67">
        <f>(R41+S41)*G41</f>
        <v>48040.2391354889</v>
      </c>
      <c r="AC41" s="67">
        <f>G41*(R41*(1-screen_specificity)+S41*screen_sensitivity)</f>
        <v>3449.864232938655</v>
      </c>
      <c r="AD41" s="68">
        <f>AB41*cost_screen_test+AC41*cost_followup_test</f>
        <v>4891071.407003322</v>
      </c>
      <c r="AE41" s="68">
        <f>X41*cost_early_treatment</f>
        <v>1616465.044917617</v>
      </c>
      <c r="AF41" s="68">
        <f>T41*cost_advanced_year</f>
        <v>2693888.4984998405</v>
      </c>
      <c r="AG41" s="68">
        <f>AD41+AE41+AF41</f>
        <v>9201424.950420778</v>
      </c>
      <c r="AH41" s="67">
        <f>V41</f>
        <v>80201.75965073983</v>
      </c>
      <c r="AI41" s="67">
        <f>R41*u_healthy+S41*u_early+T41*u_advanced</f>
        <v>72122.92641823119</v>
      </c>
      <c r="AJ41" s="69">
        <f>1/(1+disc_costs)^A41</f>
        <v>0.3883370341369652</v>
      </c>
      <c r="AK41" s="69">
        <f>1/(1+disc_effects)^A41</f>
        <v>0.3883370341369652</v>
      </c>
      <c r="AL41" s="68">
        <f>AG41*AJ41</f>
        <v>3573254.075080277</v>
      </c>
      <c r="AM41" s="67">
        <f>AI41*AK41</f>
        <v>28008.003338534472</v>
      </c>
      <c r="AN41" s="67">
        <f>AH41*AK41</f>
        <v>31145.31347533403</v>
      </c>
      <c r="AO41" s="64" t="str">
        <f>IF(AND(ABS(V41+U41-cohort_size)&lt;0.000001*cohort_size,MIN(I41:Q41)&gt;=0,MAX(I41:Q41)&lt;=1),"OK","CHECK")</f>
        <v>OK</v>
      </c>
    </row>
    <row r="42">
      <c r="A42" s="63">
        <f>A41+1</f>
        <v>33.0</v>
      </c>
      <c r="B42" s="63">
        <f>start_age+A42</f>
        <v>73.0</v>
      </c>
      <c r="C42" s="64" t="str">
        <f>INDEX(age_band_label,MATCH(B42,age_band_start,1))</f>
        <v>70-74</v>
      </c>
      <c r="D42" s="65">
        <f>INDEX(p_background_death,MATCH(B42,age_band_start,1))</f>
        <v>0.021</v>
      </c>
      <c r="E42" s="65">
        <f>INDEX(p_cancer_onset,MATCH(B42,age_band_start,1))</f>
        <v>0.0018</v>
      </c>
      <c r="F42" s="63">
        <f>IF(AND($B$3="Yes",B42&gt;=$E$3,B42&lt;=$H$3),1,0)</f>
        <v>1.0</v>
      </c>
      <c r="G42" s="66">
        <f>F42*screen_participation</f>
        <v>0.6</v>
      </c>
      <c r="H42" s="65">
        <f>1-(1-p_detect_symptoms)*(1-G42*screen_sensitivity)</f>
        <v>0.47799999999999987</v>
      </c>
      <c r="I42" s="65">
        <f>1-J42-K42</f>
        <v>0.9772377999999999</v>
      </c>
      <c r="J42" s="65">
        <f>(1-D42)*E42</f>
        <v>0.0017622</v>
      </c>
      <c r="K42" s="65">
        <f>D42</f>
        <v>0.021</v>
      </c>
      <c r="L42" s="65">
        <f>(1-D42)*H42*p_cure_early</f>
        <v>0.4211657999999999</v>
      </c>
      <c r="M42" s="65">
        <f>(1-D42)*(1-H42)*(1-p_progression)</f>
        <v>0.3832785000000001</v>
      </c>
      <c r="N42" s="65">
        <f>(1-D42)*(H42*(1-p_cure_early)+(1-H42)*p_progression)</f>
        <v>0.1745557</v>
      </c>
      <c r="O42" s="65">
        <f>D42</f>
        <v>0.021</v>
      </c>
      <c r="P42" s="65">
        <f>1-Q42</f>
        <v>0.73425</v>
      </c>
      <c r="Q42" s="65">
        <f>1-(1-D42)*(1-p_death_advanced)</f>
        <v>0.26575000000000004</v>
      </c>
      <c r="R42" s="67">
        <f>R41*I41+S41*L41</f>
        <v>78116.50798119158</v>
      </c>
      <c r="S42" s="67">
        <f>R41*J41+S41*M41</f>
        <v>228.9514247404282</v>
      </c>
      <c r="T42" s="67">
        <f>S41*N41+T41*P41</f>
        <v>139.0968316418743</v>
      </c>
      <c r="U42" s="67">
        <f>U41+R41*K41+S41*O41+T41*Q41</f>
        <v>21515.443762426134</v>
      </c>
      <c r="V42" s="67">
        <f>R42+S42+T42</f>
        <v>78484.55623757388</v>
      </c>
      <c r="W42" s="67">
        <f>R42*J42</f>
        <v>137.6569103644558</v>
      </c>
      <c r="X42" s="67">
        <f>S42*(1-D42)*H42</f>
        <v>107.14056662438023</v>
      </c>
      <c r="Y42" s="67">
        <f>S42*(1-D42)*(1-H42)*p_progression</f>
        <v>29.250719549124746</v>
      </c>
      <c r="Z42" s="67">
        <f>X42+Y42</f>
        <v>136.39128617350497</v>
      </c>
      <c r="AA42" s="67">
        <f>T42*(1-D42)*p_death_advanced</f>
        <v>34.043949544348735</v>
      </c>
      <c r="AB42" s="67">
        <f>(R42+S42)*G42</f>
        <v>47007.2756435592</v>
      </c>
      <c r="AC42" s="67">
        <f>G42*(R42*(1-screen_specificity)+S42*screen_sensitivity)</f>
        <v>3377.0529336010236</v>
      </c>
      <c r="AD42" s="68">
        <f>AB42*cost_screen_test+AC42*cost_followup_test</f>
        <v>4787271.2029078</v>
      </c>
      <c r="AE42" s="68">
        <f>X42*cost_early_treatment</f>
        <v>1607108.4993657034</v>
      </c>
      <c r="AF42" s="68">
        <f>T42*cost_advanced_year</f>
        <v>2781936.632837486</v>
      </c>
      <c r="AG42" s="68">
        <f>AD42+AE42+AF42</f>
        <v>9176316.335110988</v>
      </c>
      <c r="AH42" s="67">
        <f>V42</f>
        <v>78484.55623757388</v>
      </c>
      <c r="AI42" s="67">
        <f>R42*u_healthy+S42*u_early+T42*u_advanced</f>
        <v>70575.96915150482</v>
      </c>
      <c r="AJ42" s="69">
        <f>1/(1+disc_costs)^A42</f>
        <v>0.37702624673491764</v>
      </c>
      <c r="AK42" s="69">
        <f>1/(1+disc_effects)^A42</f>
        <v>0.37702624673491764</v>
      </c>
      <c r="AL42" s="68">
        <f>AG42*AJ42</f>
        <v>3459712.106679211</v>
      </c>
      <c r="AM42" s="67">
        <f>AI42*AK42</f>
        <v>26608.99275887119</v>
      </c>
      <c r="AN42" s="67">
        <f>AH42*AK42</f>
        <v>29590.73766490805</v>
      </c>
      <c r="AO42" s="64" t="str">
        <f>IF(AND(ABS(V42+U42-cohort_size)&lt;0.000001*cohort_size,MIN(I42:Q42)&gt;=0,MAX(I42:Q42)&lt;=1),"OK","CHECK")</f>
        <v>OK</v>
      </c>
    </row>
    <row r="43">
      <c r="A43" s="63">
        <f>A42+1</f>
        <v>34.0</v>
      </c>
      <c r="B43" s="63">
        <f>start_age+A43</f>
        <v>74.0</v>
      </c>
      <c r="C43" s="64" t="str">
        <f>INDEX(age_band_label,MATCH(B43,age_band_start,1))</f>
        <v>70-74</v>
      </c>
      <c r="D43" s="65">
        <f>INDEX(p_background_death,MATCH(B43,age_band_start,1))</f>
        <v>0.021</v>
      </c>
      <c r="E43" s="65">
        <f>INDEX(p_cancer_onset,MATCH(B43,age_band_start,1))</f>
        <v>0.0018</v>
      </c>
      <c r="F43" s="63">
        <f>IF(AND($B$3="Yes",B43&gt;=$E$3,B43&lt;=$H$3),1,0)</f>
        <v>1.0</v>
      </c>
      <c r="G43" s="66">
        <f>F43*screen_participation</f>
        <v>0.6</v>
      </c>
      <c r="H43" s="65">
        <f>1-(1-p_detect_symptoms)*(1-G43*screen_sensitivity)</f>
        <v>0.47799999999999987</v>
      </c>
      <c r="I43" s="65">
        <f>1-J43-K43</f>
        <v>0.9772377999999999</v>
      </c>
      <c r="J43" s="65">
        <f>(1-D43)*E43</f>
        <v>0.0017622</v>
      </c>
      <c r="K43" s="65">
        <f>D43</f>
        <v>0.021</v>
      </c>
      <c r="L43" s="65">
        <f>(1-D43)*H43*p_cure_early</f>
        <v>0.4211657999999999</v>
      </c>
      <c r="M43" s="65">
        <f>(1-D43)*(1-H43)*(1-p_progression)</f>
        <v>0.3832785000000001</v>
      </c>
      <c r="N43" s="65">
        <f>(1-D43)*(H43*(1-p_cure_early)+(1-H43)*p_progression)</f>
        <v>0.1745557</v>
      </c>
      <c r="O43" s="65">
        <f>D43</f>
        <v>0.021</v>
      </c>
      <c r="P43" s="65">
        <f>1-Q43</f>
        <v>0.73425</v>
      </c>
      <c r="Q43" s="65">
        <f>1-(1-D43)*(1-p_death_advanced)</f>
        <v>0.26575000000000004</v>
      </c>
      <c r="R43" s="67">
        <f>R42*I42+S42*L42</f>
        <v>76434.83091318404</v>
      </c>
      <c r="S43" s="67">
        <f>R42*J42+S42*M42</f>
        <v>225.40906901183</v>
      </c>
      <c r="T43" s="67">
        <f>S42*N42+T42*P42</f>
        <v>142.09662484460898</v>
      </c>
      <c r="U43" s="67">
        <f>U42+R42*K42+S42*O42+T42*Q42</f>
        <v>23197.66339295953</v>
      </c>
      <c r="V43" s="67">
        <f>R43+S43+T43</f>
        <v>76802.33660704047</v>
      </c>
      <c r="W43" s="67">
        <f>R43*J43</f>
        <v>134.6934590352129</v>
      </c>
      <c r="X43" s="67">
        <f>S43*(1-D43)*H43</f>
        <v>105.48287875291398</v>
      </c>
      <c r="Y43" s="67">
        <f>S43*(1-D43)*(1-H43)*p_progression</f>
        <v>28.798149952416903</v>
      </c>
      <c r="Z43" s="67">
        <f>X43+Y43</f>
        <v>134.28102870533087</v>
      </c>
      <c r="AA43" s="67">
        <f>T43*(1-D43)*p_death_advanced</f>
        <v>34.77814893071805</v>
      </c>
      <c r="AB43" s="67">
        <f>(R43+S43)*G43</f>
        <v>45996.14398931752</v>
      </c>
      <c r="AC43" s="67">
        <f>G43*(R43*(1-screen_specificity)+S43*screen_sensitivity)</f>
        <v>3304.9347073386957</v>
      </c>
      <c r="AD43" s="68">
        <f>AB43*cost_screen_test+AC43*cost_followup_test</f>
        <v>4684819.027018221</v>
      </c>
      <c r="AE43" s="68">
        <f>X43*cost_early_treatment</f>
        <v>1582243.1812937097</v>
      </c>
      <c r="AF43" s="68">
        <f>T43*cost_advanced_year</f>
        <v>2841932.49689218</v>
      </c>
      <c r="AG43" s="68">
        <f>AD43+AE43+AF43</f>
        <v>9108994.70520411</v>
      </c>
      <c r="AH43" s="67">
        <f>V43</f>
        <v>76802.33660704047</v>
      </c>
      <c r="AI43" s="67">
        <f>R43*u_healthy+S43*u_early+T43*u_advanced</f>
        <v>69061.09867419023</v>
      </c>
      <c r="AJ43" s="69">
        <f>1/(1+disc_costs)^A43</f>
        <v>0.3660448997426385</v>
      </c>
      <c r="AK43" s="69">
        <f>1/(1+disc_effects)^A43</f>
        <v>0.3660448997426385</v>
      </c>
      <c r="AL43" s="68">
        <f>AG43*AJ43</f>
        <v>3334301.0536226635</v>
      </c>
      <c r="AM43" s="67">
        <f>AI43*AK43</f>
        <v>25279.462940310426</v>
      </c>
      <c r="AN43" s="67">
        <f>AH43*AK43</f>
        <v>28113.103603324504</v>
      </c>
      <c r="AO43" s="64" t="str">
        <f>IF(AND(ABS(V43+U43-cohort_size)&lt;0.000001*cohort_size,MIN(I43:Q43)&gt;=0,MAX(I43:Q43)&lt;=1),"OK","CHECK")</f>
        <v>OK</v>
      </c>
    </row>
    <row r="44">
      <c r="A44" s="63">
        <f>A43+1</f>
        <v>35.0</v>
      </c>
      <c r="B44" s="63">
        <f>start_age+A44</f>
        <v>75.0</v>
      </c>
      <c r="C44" s="64" t="str">
        <f>INDEX(age_band_label,MATCH(B44,age_band_start,1))</f>
        <v>75-79</v>
      </c>
      <c r="D44" s="65">
        <f>INDEX(p_background_death,MATCH(B44,age_band_start,1))</f>
        <v>0.035</v>
      </c>
      <c r="E44" s="65">
        <f>INDEX(p_cancer_onset,MATCH(B44,age_band_start,1))</f>
        <v>0.0021</v>
      </c>
      <c r="F44" s="63">
        <f>IF(AND($B$3="Yes",B44&gt;=$E$3,B44&lt;=$H$3),1,0)</f>
        <v>0.0</v>
      </c>
      <c r="G44" s="66">
        <f>F44*screen_participation</f>
        <v>0.0</v>
      </c>
      <c r="H44" s="65">
        <f>1-(1-p_detect_symptoms)*(1-G44*screen_sensitivity)</f>
        <v>0.09999999999999998</v>
      </c>
      <c r="I44" s="65">
        <f>1-J44-K44</f>
        <v>0.9629734999999999</v>
      </c>
      <c r="J44" s="65">
        <f>(1-D44)*E44</f>
        <v>0.0020264999999999997</v>
      </c>
      <c r="K44" s="65">
        <f>D44</f>
        <v>0.035</v>
      </c>
      <c r="L44" s="65">
        <f>(1-D44)*H44*p_cure_early</f>
        <v>0.08684999999999998</v>
      </c>
      <c r="M44" s="65">
        <f>(1-D44)*(1-H44)*(1-p_progression)</f>
        <v>0.6513749999999999</v>
      </c>
      <c r="N44" s="65">
        <f>(1-D44)*(H44*(1-p_cure_early)+(1-H44)*p_progression)</f>
        <v>0.22677499999999998</v>
      </c>
      <c r="O44" s="65">
        <f>D44</f>
        <v>0.035</v>
      </c>
      <c r="P44" s="65">
        <f>1-Q44</f>
        <v>0.72375</v>
      </c>
      <c r="Q44" s="65">
        <f>1-(1-D44)*(1-p_death_advanced)</f>
        <v>0.27625</v>
      </c>
      <c r="R44" s="67">
        <f>R43*I43+S43*L43</f>
        <v>74789.94059584956</v>
      </c>
      <c r="S44" s="67">
        <f>R43*J43+S43*M43</f>
        <v>221.0879088924636</v>
      </c>
      <c r="T44" s="67">
        <f>S43*N43+T43*P43</f>
        <v>143.68088461986244</v>
      </c>
      <c r="U44" s="67">
        <f>U43+R43*K43+S43*O43+T43*Q43</f>
        <v>24845.290610638098</v>
      </c>
      <c r="V44" s="67">
        <f>R44+S44+T44</f>
        <v>75154.7093893619</v>
      </c>
      <c r="W44" s="67">
        <f>R44*J44</f>
        <v>151.56181461748912</v>
      </c>
      <c r="X44" s="67">
        <f>S44*(1-D44)*H44</f>
        <v>21.334983208122733</v>
      </c>
      <c r="Y44" s="67">
        <f>S44*(1-D44)*(1-H44)*p_progression</f>
        <v>48.003712218276156</v>
      </c>
      <c r="Z44" s="67">
        <f>X44+Y44</f>
        <v>69.33869542639889</v>
      </c>
      <c r="AA44" s="67">
        <f>T44*(1-D44)*p_death_advanced</f>
        <v>34.663013414541815</v>
      </c>
      <c r="AB44" s="67">
        <f>(R44+S44)*G44</f>
        <v>0.0</v>
      </c>
      <c r="AC44" s="67">
        <f>G44*(R44*(1-screen_specificity)+S44*screen_sensitivity)</f>
        <v>0.0</v>
      </c>
      <c r="AD44" s="68">
        <f>AB44*cost_screen_test+AC44*cost_followup_test</f>
        <v>0.0</v>
      </c>
      <c r="AE44" s="68">
        <f>X44*cost_early_treatment</f>
        <v>320024.748121841</v>
      </c>
      <c r="AF44" s="68">
        <f>T44*cost_advanced_year</f>
        <v>2873617.692397249</v>
      </c>
      <c r="AG44" s="68">
        <f>AD44+AE44+AF44</f>
        <v>3193642.44051909</v>
      </c>
      <c r="AH44" s="67">
        <f>V44</f>
        <v>75154.7093893619</v>
      </c>
      <c r="AI44" s="67">
        <f>R44*u_healthy+S44*u_early+T44*u_advanced</f>
        <v>67577.89574536413</v>
      </c>
      <c r="AJ44" s="69">
        <f>1/(1+disc_costs)^A44</f>
        <v>0.35538339780838685</v>
      </c>
      <c r="AK44" s="69">
        <f>1/(1+disc_effects)^A44</f>
        <v>0.35538339780838685</v>
      </c>
      <c r="AL44" s="68">
        <f>AG44*AJ44</f>
        <v>1134967.5018967432</v>
      </c>
      <c r="AM44" s="67">
        <f>AI44*AK44</f>
        <v>24016.062206728435</v>
      </c>
      <c r="AN44" s="67">
        <f>AH44*AK44</f>
        <v>26708.735984093306</v>
      </c>
      <c r="AO44" s="64" t="str">
        <f>IF(AND(ABS(V44+U44-cohort_size)&lt;0.000001*cohort_size,MIN(I44:Q44)&gt;=0,MAX(I44:Q44)&lt;=1),"OK","CHECK")</f>
        <v>OK</v>
      </c>
    </row>
    <row r="45">
      <c r="A45" s="63">
        <f>A44+1</f>
        <v>36.0</v>
      </c>
      <c r="B45" s="63">
        <f>start_age+A45</f>
        <v>76.0</v>
      </c>
      <c r="C45" s="64" t="str">
        <f>INDEX(age_band_label,MATCH(B45,age_band_start,1))</f>
        <v>75-79</v>
      </c>
      <c r="D45" s="65">
        <f>INDEX(p_background_death,MATCH(B45,age_band_start,1))</f>
        <v>0.035</v>
      </c>
      <c r="E45" s="65">
        <f>INDEX(p_cancer_onset,MATCH(B45,age_band_start,1))</f>
        <v>0.0021</v>
      </c>
      <c r="F45" s="63">
        <f>IF(AND($B$3="Yes",B45&gt;=$E$3,B45&lt;=$H$3),1,0)</f>
        <v>0.0</v>
      </c>
      <c r="G45" s="66">
        <f>F45*screen_participation</f>
        <v>0.0</v>
      </c>
      <c r="H45" s="65">
        <f>1-(1-p_detect_symptoms)*(1-G45*screen_sensitivity)</f>
        <v>0.09999999999999998</v>
      </c>
      <c r="I45" s="65">
        <f>1-J45-K45</f>
        <v>0.9629734999999999</v>
      </c>
      <c r="J45" s="65">
        <f>(1-D45)*E45</f>
        <v>0.0020264999999999997</v>
      </c>
      <c r="K45" s="65">
        <f>D45</f>
        <v>0.035</v>
      </c>
      <c r="L45" s="65">
        <f>(1-D45)*H45*p_cure_early</f>
        <v>0.08684999999999998</v>
      </c>
      <c r="M45" s="65">
        <f>(1-D45)*(1-H45)*(1-p_progression)</f>
        <v>0.6513749999999999</v>
      </c>
      <c r="N45" s="65">
        <f>(1-D45)*(H45*(1-p_cure_early)+(1-H45)*p_progression)</f>
        <v>0.22677499999999998</v>
      </c>
      <c r="O45" s="65">
        <f>D45</f>
        <v>0.035</v>
      </c>
      <c r="P45" s="65">
        <f>1-Q45</f>
        <v>0.72375</v>
      </c>
      <c r="Q45" s="65">
        <f>1-(1-D45)*(1-p_death_advanced)</f>
        <v>0.27625</v>
      </c>
      <c r="R45" s="67">
        <f>R44*I44+S44*L44</f>
        <v>72039.93234526463</v>
      </c>
      <c r="S45" s="67">
        <f>R44*J44+S44*M44</f>
        <v>295.5729512723176</v>
      </c>
      <c r="T45" s="67">
        <f>S44*N44+T44*P44</f>
        <v>154.12625078271387</v>
      </c>
      <c r="U45" s="67">
        <f>U44+R44*K44+S44*O44+T44*Q44</f>
        <v>27510.368452680308</v>
      </c>
      <c r="V45" s="67">
        <f>R45+S45+T45</f>
        <v>72489.63154731967</v>
      </c>
      <c r="W45" s="67">
        <f>R45*J45</f>
        <v>145.98892289767875</v>
      </c>
      <c r="X45" s="67">
        <f>S45*(1-D45)*H45</f>
        <v>28.522789797778643</v>
      </c>
      <c r="Y45" s="67">
        <f>S45*(1-D45)*(1-H45)*p_progression</f>
        <v>64.17627704500197</v>
      </c>
      <c r="Z45" s="67">
        <f>X45+Y45</f>
        <v>92.69906684278061</v>
      </c>
      <c r="AA45" s="67">
        <f>T45*(1-D45)*p_death_advanced</f>
        <v>37.182958001329716</v>
      </c>
      <c r="AB45" s="67">
        <f>(R45+S45)*G45</f>
        <v>0.0</v>
      </c>
      <c r="AC45" s="67">
        <f>G45*(R45*(1-screen_specificity)+S45*screen_sensitivity)</f>
        <v>0.0</v>
      </c>
      <c r="AD45" s="68">
        <f>AB45*cost_screen_test+AC45*cost_followup_test</f>
        <v>0.0</v>
      </c>
      <c r="AE45" s="68">
        <f>X45*cost_early_treatment</f>
        <v>427841.8469666796</v>
      </c>
      <c r="AF45" s="68">
        <f>T45*cost_advanced_year</f>
        <v>3082525.0156542775</v>
      </c>
      <c r="AG45" s="68">
        <f>AD45+AE45+AF45</f>
        <v>3510366.862620957</v>
      </c>
      <c r="AH45" s="67">
        <f>V45</f>
        <v>72489.63154731967</v>
      </c>
      <c r="AI45" s="67">
        <f>R45*u_healthy+S45*u_early+T45*u_advanced</f>
        <v>65171.94555725014</v>
      </c>
      <c r="AJ45" s="69">
        <f>1/(1+disc_costs)^A45</f>
        <v>0.34503242505668624</v>
      </c>
      <c r="AK45" s="69">
        <f>1/(1+disc_effects)^A45</f>
        <v>0.34503242505668624</v>
      </c>
      <c r="AL45" s="68">
        <f>AG45*AJ45</f>
        <v>1211190.3914487401</v>
      </c>
      <c r="AM45" s="67">
        <f>AI45*AK45</f>
        <v>22486.434421280344</v>
      </c>
      <c r="AN45" s="67">
        <f>AH45*AK45</f>
        <v>25011.273364237375</v>
      </c>
      <c r="AO45" s="64" t="str">
        <f>IF(AND(ABS(V45+U45-cohort_size)&lt;0.000001*cohort_size,MIN(I45:Q45)&gt;=0,MAX(I45:Q45)&lt;=1),"OK","CHECK")</f>
        <v>OK</v>
      </c>
    </row>
    <row r="46">
      <c r="A46" s="63">
        <f>A45+1</f>
        <v>37.0</v>
      </c>
      <c r="B46" s="63">
        <f>start_age+A46</f>
        <v>77.0</v>
      </c>
      <c r="C46" s="64" t="str">
        <f>INDEX(age_band_label,MATCH(B46,age_band_start,1))</f>
        <v>75-79</v>
      </c>
      <c r="D46" s="65">
        <f>INDEX(p_background_death,MATCH(B46,age_band_start,1))</f>
        <v>0.035</v>
      </c>
      <c r="E46" s="65">
        <f>INDEX(p_cancer_onset,MATCH(B46,age_band_start,1))</f>
        <v>0.0021</v>
      </c>
      <c r="F46" s="63">
        <f>IF(AND($B$3="Yes",B46&gt;=$E$3,B46&lt;=$H$3),1,0)</f>
        <v>0.0</v>
      </c>
      <c r="G46" s="66">
        <f>F46*screen_participation</f>
        <v>0.0</v>
      </c>
      <c r="H46" s="65">
        <f>1-(1-p_detect_symptoms)*(1-G46*screen_sensitivity)</f>
        <v>0.09999999999999998</v>
      </c>
      <c r="I46" s="65">
        <f>1-J46-K46</f>
        <v>0.9629734999999999</v>
      </c>
      <c r="J46" s="65">
        <f>(1-D46)*E46</f>
        <v>0.0020264999999999997</v>
      </c>
      <c r="K46" s="65">
        <f>D46</f>
        <v>0.035</v>
      </c>
      <c r="L46" s="65">
        <f>(1-D46)*H46*p_cure_early</f>
        <v>0.08684999999999998</v>
      </c>
      <c r="M46" s="65">
        <f>(1-D46)*(1-H46)*(1-p_progression)</f>
        <v>0.6513749999999999</v>
      </c>
      <c r="N46" s="65">
        <f>(1-D46)*(H46*(1-p_cure_early)+(1-H46)*p_progression)</f>
        <v>0.22677499999999998</v>
      </c>
      <c r="O46" s="65">
        <f>D46</f>
        <v>0.035</v>
      </c>
      <c r="P46" s="65">
        <f>1-Q46</f>
        <v>0.72375</v>
      </c>
      <c r="Q46" s="65">
        <f>1-(1-D46)*(1-p_death_advanced)</f>
        <v>0.27625</v>
      </c>
      <c r="R46" s="67">
        <f>R45*I45+S45*L45</f>
        <v>69398.21630110069</v>
      </c>
      <c r="S46" s="67">
        <f>R45*J45+S45*M45</f>
        <v>338.5177540326846</v>
      </c>
      <c r="T46" s="67">
        <f>S45*N45+T45*P45</f>
        <v>178.577430028769</v>
      </c>
      <c r="U46" s="67">
        <f>U45+R45*K45+S45*O45+T45*Q45</f>
        <v>30084.688514837828</v>
      </c>
      <c r="V46" s="67">
        <f>R46+S46+T46</f>
        <v>69915.31148516215</v>
      </c>
      <c r="W46" s="67">
        <f>R46*J46</f>
        <v>140.63548533418052</v>
      </c>
      <c r="X46" s="67">
        <f>S46*(1-D46)*H46</f>
        <v>32.666963264154056</v>
      </c>
      <c r="Y46" s="67">
        <f>S46*(1-D46)*(1-H46)*p_progression</f>
        <v>73.50066734434664</v>
      </c>
      <c r="Z46" s="67">
        <f>X46+Y46</f>
        <v>106.1676306085007</v>
      </c>
      <c r="AA46" s="67">
        <f>T46*(1-D46)*p_death_advanced</f>
        <v>43.08180499444052</v>
      </c>
      <c r="AB46" s="67">
        <f>(R46+S46)*G46</f>
        <v>0.0</v>
      </c>
      <c r="AC46" s="67">
        <f>G46*(R46*(1-screen_specificity)+S46*screen_sensitivity)</f>
        <v>0.0</v>
      </c>
      <c r="AD46" s="68">
        <f>AB46*cost_screen_test+AC46*cost_followup_test</f>
        <v>0.0</v>
      </c>
      <c r="AE46" s="68">
        <f>X46*cost_early_treatment</f>
        <v>490004.44896231085</v>
      </c>
      <c r="AF46" s="68">
        <f>T46*cost_advanced_year</f>
        <v>3571548.6005753796</v>
      </c>
      <c r="AG46" s="68">
        <f>AD46+AE46+AF46</f>
        <v>4061553.0495376904</v>
      </c>
      <c r="AH46" s="67">
        <f>V46</f>
        <v>69915.31148516215</v>
      </c>
      <c r="AI46" s="67">
        <f>R46*u_healthy+S46*u_early+T46*u_advanced</f>
        <v>62844.35234843422</v>
      </c>
      <c r="AJ46" s="69">
        <f>1/(1+disc_costs)^A46</f>
        <v>0.3349829369482391</v>
      </c>
      <c r="AK46" s="69">
        <f>1/(1+disc_effects)^A46</f>
        <v>0.3349829369482391</v>
      </c>
      <c r="AL46" s="68">
        <f>AG46*AJ46</f>
        <v>1360550.9691052125</v>
      </c>
      <c r="AM46" s="67">
        <f>AI46*AK46</f>
        <v>21051.785720288462</v>
      </c>
      <c r="AN46" s="67">
        <f>AH46*AK46</f>
        <v>23420.43637895057</v>
      </c>
      <c r="AO46" s="64" t="str">
        <f>IF(AND(ABS(V46+U46-cohort_size)&lt;0.000001*cohort_size,MIN(I46:Q46)&gt;=0,MAX(I46:Q46)&lt;=1),"OK","CHECK")</f>
        <v>OK</v>
      </c>
    </row>
    <row r="47">
      <c r="A47" s="63">
        <f>A46+1</f>
        <v>38.0</v>
      </c>
      <c r="B47" s="63">
        <f>start_age+A47</f>
        <v>78.0</v>
      </c>
      <c r="C47" s="64" t="str">
        <f>INDEX(age_band_label,MATCH(B47,age_band_start,1))</f>
        <v>75-79</v>
      </c>
      <c r="D47" s="65">
        <f>INDEX(p_background_death,MATCH(B47,age_band_start,1))</f>
        <v>0.035</v>
      </c>
      <c r="E47" s="65">
        <f>INDEX(p_cancer_onset,MATCH(B47,age_band_start,1))</f>
        <v>0.0021</v>
      </c>
      <c r="F47" s="63">
        <f>IF(AND($B$3="Yes",B47&gt;=$E$3,B47&lt;=$H$3),1,0)</f>
        <v>0.0</v>
      </c>
      <c r="G47" s="66">
        <f>F47*screen_participation</f>
        <v>0.0</v>
      </c>
      <c r="H47" s="65">
        <f>1-(1-p_detect_symptoms)*(1-G47*screen_sensitivity)</f>
        <v>0.09999999999999998</v>
      </c>
      <c r="I47" s="65">
        <f>1-J47-K47</f>
        <v>0.9629734999999999</v>
      </c>
      <c r="J47" s="65">
        <f>(1-D47)*E47</f>
        <v>0.0020264999999999997</v>
      </c>
      <c r="K47" s="65">
        <f>D47</f>
        <v>0.035</v>
      </c>
      <c r="L47" s="65">
        <f>(1-D47)*H47*p_cure_early</f>
        <v>0.08684999999999998</v>
      </c>
      <c r="M47" s="65">
        <f>(1-D47)*(1-H47)*(1-p_progression)</f>
        <v>0.6513749999999999</v>
      </c>
      <c r="N47" s="65">
        <f>(1-D47)*(H47*(1-p_cure_early)+(1-H47)*p_progression)</f>
        <v>0.22677499999999998</v>
      </c>
      <c r="O47" s="65">
        <f>D47</f>
        <v>0.035</v>
      </c>
      <c r="P47" s="65">
        <f>1-Q47</f>
        <v>0.72375</v>
      </c>
      <c r="Q47" s="65">
        <f>1-(1-D47)*(1-p_death_advanced)</f>
        <v>0.27625</v>
      </c>
      <c r="R47" s="67">
        <f>R46*I46+S46*L46</f>
        <v>66858.04351216572</v>
      </c>
      <c r="S47" s="67">
        <f>R46*J46+S46*M46</f>
        <v>361.1374873672204</v>
      </c>
      <c r="T47" s="67">
        <f>S46*N46+T46*P46</f>
        <v>206.0127786540836</v>
      </c>
      <c r="U47" s="67">
        <f>U46+R46*K46+S46*O46+T46*Q46</f>
        <v>32574.806221812945</v>
      </c>
      <c r="V47" s="67">
        <f>R47+S47+T47</f>
        <v>67425.19377818702</v>
      </c>
      <c r="W47" s="67">
        <f>R47*J47</f>
        <v>135.4878251774038</v>
      </c>
      <c r="X47" s="67">
        <f>S47*(1-D47)*H47</f>
        <v>34.84976753093676</v>
      </c>
      <c r="Y47" s="67">
        <f>S47*(1-D47)*(1-H47)*p_progression</f>
        <v>78.41197694460773</v>
      </c>
      <c r="Z47" s="67">
        <f>X47+Y47</f>
        <v>113.26174447554449</v>
      </c>
      <c r="AA47" s="67">
        <f>T47*(1-D47)*p_death_advanced</f>
        <v>49.70058285029767</v>
      </c>
      <c r="AB47" s="67">
        <f>(R47+S47)*G47</f>
        <v>0.0</v>
      </c>
      <c r="AC47" s="67">
        <f>G47*(R47*(1-screen_specificity)+S47*screen_sensitivity)</f>
        <v>0.0</v>
      </c>
      <c r="AD47" s="68">
        <f>AB47*cost_screen_test+AC47*cost_followup_test</f>
        <v>0.0</v>
      </c>
      <c r="AE47" s="68">
        <f>X47*cost_early_treatment</f>
        <v>522746.5129640514</v>
      </c>
      <c r="AF47" s="68">
        <f>T47*cost_advanced_year</f>
        <v>4120255.573081672</v>
      </c>
      <c r="AG47" s="68">
        <f>AD47+AE47+AF47</f>
        <v>4643002.086045723</v>
      </c>
      <c r="AH47" s="67">
        <f>V47</f>
        <v>67425.19377818702</v>
      </c>
      <c r="AI47" s="67">
        <f>R47*u_healthy+S47*u_early+T47*u_advanced</f>
        <v>60592.51305347104</v>
      </c>
      <c r="AJ47" s="69">
        <f>1/(1+disc_costs)^A47</f>
        <v>0.3252261523769311</v>
      </c>
      <c r="AK47" s="69">
        <f>1/(1+disc_effects)^A47</f>
        <v>0.3252261523769311</v>
      </c>
      <c r="AL47" s="68">
        <f>AG47*AJ47</f>
        <v>1510025.7039227153</v>
      </c>
      <c r="AM47" s="67">
        <f>AI47*AK47</f>
        <v>19706.269883229357</v>
      </c>
      <c r="AN47" s="67">
        <f>AH47*AK47</f>
        <v>21928.43634574876</v>
      </c>
      <c r="AO47" s="64" t="str">
        <f>IF(AND(ABS(V47+U47-cohort_size)&lt;0.000001*cohort_size,MIN(I47:Q47)&gt;=0,MAX(I47:Q47)&lt;=1),"OK","CHECK")</f>
        <v>OK</v>
      </c>
    </row>
    <row r="48">
      <c r="A48" s="63">
        <f>A47+1</f>
        <v>39.0</v>
      </c>
      <c r="B48" s="63">
        <f>start_age+A48</f>
        <v>79.0</v>
      </c>
      <c r="C48" s="64" t="str">
        <f>INDEX(age_band_label,MATCH(B48,age_band_start,1))</f>
        <v>75-79</v>
      </c>
      <c r="D48" s="65">
        <f>INDEX(p_background_death,MATCH(B48,age_band_start,1))</f>
        <v>0.035</v>
      </c>
      <c r="E48" s="65">
        <f>INDEX(p_cancer_onset,MATCH(B48,age_band_start,1))</f>
        <v>0.0021</v>
      </c>
      <c r="F48" s="63">
        <f>IF(AND($B$3="Yes",B48&gt;=$E$3,B48&lt;=$H$3),1,0)</f>
        <v>0.0</v>
      </c>
      <c r="G48" s="66">
        <f>F48*screen_participation</f>
        <v>0.0</v>
      </c>
      <c r="H48" s="65">
        <f>1-(1-p_detect_symptoms)*(1-G48*screen_sensitivity)</f>
        <v>0.09999999999999998</v>
      </c>
      <c r="I48" s="65">
        <f>1-J48-K48</f>
        <v>0.9629734999999999</v>
      </c>
      <c r="J48" s="65">
        <f>(1-D48)*E48</f>
        <v>0.0020264999999999997</v>
      </c>
      <c r="K48" s="65">
        <f>D48</f>
        <v>0.035</v>
      </c>
      <c r="L48" s="65">
        <f>(1-D48)*H48*p_cure_early</f>
        <v>0.08684999999999998</v>
      </c>
      <c r="M48" s="65">
        <f>(1-D48)*(1-H48)*(1-p_progression)</f>
        <v>0.6513749999999999</v>
      </c>
      <c r="N48" s="65">
        <f>(1-D48)*(H48*(1-p_cure_early)+(1-H48)*p_progression)</f>
        <v>0.22677499999999998</v>
      </c>
      <c r="O48" s="65">
        <f>D48</f>
        <v>0.035</v>
      </c>
      <c r="P48" s="65">
        <f>1-Q48</f>
        <v>0.72375</v>
      </c>
      <c r="Q48" s="65">
        <f>1-(1-D48)*(1-p_death_advanced)</f>
        <v>0.27625</v>
      </c>
      <c r="R48" s="67">
        <f>R47*I47+S47*L47</f>
        <v>64413.88895484035</v>
      </c>
      <c r="S48" s="67">
        <f>R47*J47+S47*M47</f>
        <v>370.72375601122695</v>
      </c>
      <c r="T48" s="67">
        <f>S47*N47+T47*P47</f>
        <v>230.99870224859438</v>
      </c>
      <c r="U48" s="67">
        <f>U47+R47*K47+S47*O47+T47*Q47</f>
        <v>34984.38858689979</v>
      </c>
      <c r="V48" s="67">
        <f>R48+S48+T48</f>
        <v>65015.611413100174</v>
      </c>
      <c r="W48" s="67">
        <f>R48*J48</f>
        <v>130.53474596698396</v>
      </c>
      <c r="X48" s="67">
        <f>S48*(1-D48)*H48</f>
        <v>35.77484245508339</v>
      </c>
      <c r="Y48" s="67">
        <f>S48*(1-D48)*(1-H48)*p_progression</f>
        <v>80.49339552393765</v>
      </c>
      <c r="Z48" s="67">
        <f>X48+Y48</f>
        <v>116.26823797902104</v>
      </c>
      <c r="AA48" s="67">
        <f>T48*(1-D48)*p_death_advanced</f>
        <v>55.728436917473395</v>
      </c>
      <c r="AB48" s="67">
        <f>(R48+S48)*G48</f>
        <v>0.0</v>
      </c>
      <c r="AC48" s="67">
        <f>G48*(R48*(1-screen_specificity)+S48*screen_sensitivity)</f>
        <v>0.0</v>
      </c>
      <c r="AD48" s="68">
        <f>AB48*cost_screen_test+AC48*cost_followup_test</f>
        <v>0.0</v>
      </c>
      <c r="AE48" s="68">
        <f>X48*cost_early_treatment</f>
        <v>536622.6368262508</v>
      </c>
      <c r="AF48" s="68">
        <f>T48*cost_advanced_year</f>
        <v>4619974.044971888</v>
      </c>
      <c r="AG48" s="68">
        <f>AD48+AE48+AF48</f>
        <v>5156596.681798139</v>
      </c>
      <c r="AH48" s="67">
        <f>V48</f>
        <v>65015.611413100174</v>
      </c>
      <c r="AI48" s="67">
        <f>R48*u_healthy+S48*u_early+T48*u_advanced</f>
        <v>58414.66453820258</v>
      </c>
      <c r="AJ48" s="69">
        <f>1/(1+disc_costs)^A48</f>
        <v>0.3157535459970205</v>
      </c>
      <c r="AK48" s="69">
        <f>1/(1+disc_effects)^A48</f>
        <v>0.3157535459970205</v>
      </c>
      <c r="AL48" s="68">
        <f>AG48*AJ48</f>
        <v>1628213.6875542318</v>
      </c>
      <c r="AM48" s="67">
        <f>AI48*AK48</f>
        <v>18444.63746616387</v>
      </c>
      <c r="AN48" s="67">
        <f>AH48*AK48</f>
        <v>20528.909848850737</v>
      </c>
      <c r="AO48" s="64" t="str">
        <f>IF(AND(ABS(V48+U48-cohort_size)&lt;0.000001*cohort_size,MIN(I48:Q48)&gt;=0,MAX(I48:Q48)&lt;=1),"OK","CHECK")</f>
        <v>OK</v>
      </c>
    </row>
    <row r="49">
      <c r="A49" s="63">
        <f>A48+1</f>
        <v>40.0</v>
      </c>
      <c r="B49" s="63">
        <f>start_age+A49</f>
        <v>80.0</v>
      </c>
      <c r="C49" s="64" t="str">
        <f>INDEX(age_band_label,MATCH(B49,age_band_start,1))</f>
        <v>80-84</v>
      </c>
      <c r="D49" s="65">
        <f>INDEX(p_background_death,MATCH(B49,age_band_start,1))</f>
        <v>0.06</v>
      </c>
      <c r="E49" s="65">
        <f>INDEX(p_cancer_onset,MATCH(B49,age_band_start,1))</f>
        <v>0.0024</v>
      </c>
      <c r="F49" s="63">
        <f>IF(AND($B$3="Yes",B49&gt;=$E$3,B49&lt;=$H$3),1,0)</f>
        <v>0.0</v>
      </c>
      <c r="G49" s="66">
        <f>F49*screen_participation</f>
        <v>0.0</v>
      </c>
      <c r="H49" s="65">
        <f>1-(1-p_detect_symptoms)*(1-G49*screen_sensitivity)</f>
        <v>0.09999999999999998</v>
      </c>
      <c r="I49" s="65">
        <f>1-J49-K49</f>
        <v>0.9377439999999999</v>
      </c>
      <c r="J49" s="65">
        <f>(1-D49)*E49</f>
        <v>0.0022559999999999998</v>
      </c>
      <c r="K49" s="65">
        <f>D49</f>
        <v>0.06</v>
      </c>
      <c r="L49" s="65">
        <f>(1-D49)*H49*p_cure_early</f>
        <v>0.08459999999999998</v>
      </c>
      <c r="M49" s="65">
        <f>(1-D49)*(1-H49)*(1-p_progression)</f>
        <v>0.6345</v>
      </c>
      <c r="N49" s="65">
        <f>(1-D49)*(H49*(1-p_cure_early)+(1-H49)*p_progression)</f>
        <v>0.22089999999999999</v>
      </c>
      <c r="O49" s="65">
        <f>D49</f>
        <v>0.06</v>
      </c>
      <c r="P49" s="65">
        <f>1-Q49</f>
        <v>0.705</v>
      </c>
      <c r="Q49" s="65">
        <f>1-(1-D49)*(1-p_death_advanced)</f>
        <v>0.29500000000000004</v>
      </c>
      <c r="R49" s="67">
        <f>R48*I48+S48*L48</f>
        <v>62061.06545366353</v>
      </c>
      <c r="S49" s="67">
        <f>R48*J48+S48*M48</f>
        <v>372.01493253879687</v>
      </c>
      <c r="T49" s="67">
        <f>S48*N48+T48*P48</f>
        <v>251.25619052186616</v>
      </c>
      <c r="U49" s="67">
        <f>U48+R48*K48+S48*O48+T48*Q48</f>
        <v>37315.66342327577</v>
      </c>
      <c r="V49" s="67">
        <f>R49+S49+T49</f>
        <v>62684.33657672419</v>
      </c>
      <c r="W49" s="67">
        <f>R49*J49</f>
        <v>140.0097636634649</v>
      </c>
      <c r="X49" s="67">
        <f>S49*(1-D49)*H49</f>
        <v>34.9694036586469</v>
      </c>
      <c r="Y49" s="67">
        <f>S49*(1-D49)*(1-H49)*p_progression</f>
        <v>78.68115823195554</v>
      </c>
      <c r="Z49" s="67">
        <f>X49+Y49</f>
        <v>113.65056189060243</v>
      </c>
      <c r="AA49" s="67">
        <f>T49*(1-D49)*p_death_advanced</f>
        <v>59.04520477263854</v>
      </c>
      <c r="AB49" s="67">
        <f>(R49+S49)*G49</f>
        <v>0.0</v>
      </c>
      <c r="AC49" s="67">
        <f>G49*(R49*(1-screen_specificity)+S49*screen_sensitivity)</f>
        <v>0.0</v>
      </c>
      <c r="AD49" s="68">
        <f>AB49*cost_screen_test+AC49*cost_followup_test</f>
        <v>0.0</v>
      </c>
      <c r="AE49" s="68">
        <f>X49*cost_early_treatment</f>
        <v>524541.0548797034</v>
      </c>
      <c r="AF49" s="68">
        <f>T49*cost_advanced_year</f>
        <v>5025123.8104373235</v>
      </c>
      <c r="AG49" s="68">
        <f>AD49+AE49+AF49</f>
        <v>5549664.865317027</v>
      </c>
      <c r="AH49" s="67">
        <f>V49</f>
        <v>62684.33657672419</v>
      </c>
      <c r="AI49" s="67">
        <f>R49*u_healthy+S49*u_early+T49*u_advanced</f>
        <v>56309.36250574218</v>
      </c>
      <c r="AJ49" s="69">
        <f>1/(1+disc_costs)^A49</f>
        <v>0.3065568407738063</v>
      </c>
      <c r="AK49" s="69">
        <f>1/(1+disc_effects)^A49</f>
        <v>0.3065568407738063</v>
      </c>
      <c r="AL49" s="68">
        <f>AG49*AJ49</f>
        <v>1701287.728464979</v>
      </c>
      <c r="AM49" s="67">
        <f>AI49*AK49</f>
        <v>17262.020275747345</v>
      </c>
      <c r="AN49" s="67">
        <f>AH49*AK49</f>
        <v>19216.31218696252</v>
      </c>
      <c r="AO49" s="64" t="str">
        <f>IF(AND(ABS(V49+U49-cohort_size)&lt;0.000001*cohort_size,MIN(I49:Q49)&gt;=0,MAX(I49:Q49)&lt;=1),"OK","CHECK")</f>
        <v>OK</v>
      </c>
    </row>
    <row r="50">
      <c r="A50" s="63">
        <f>A49+1</f>
        <v>41.0</v>
      </c>
      <c r="B50" s="63">
        <f>start_age+A50</f>
        <v>81.0</v>
      </c>
      <c r="C50" s="64" t="str">
        <f>INDEX(age_band_label,MATCH(B50,age_band_start,1))</f>
        <v>80-84</v>
      </c>
      <c r="D50" s="65">
        <f>INDEX(p_background_death,MATCH(B50,age_band_start,1))</f>
        <v>0.06</v>
      </c>
      <c r="E50" s="65">
        <f>INDEX(p_cancer_onset,MATCH(B50,age_band_start,1))</f>
        <v>0.0024</v>
      </c>
      <c r="F50" s="63">
        <f>IF(AND($B$3="Yes",B50&gt;=$E$3,B50&lt;=$H$3),1,0)</f>
        <v>0.0</v>
      </c>
      <c r="G50" s="66">
        <f>F50*screen_participation</f>
        <v>0.0</v>
      </c>
      <c r="H50" s="65">
        <f>1-(1-p_detect_symptoms)*(1-G50*screen_sensitivity)</f>
        <v>0.09999999999999998</v>
      </c>
      <c r="I50" s="65">
        <f>1-J50-K50</f>
        <v>0.9377439999999999</v>
      </c>
      <c r="J50" s="65">
        <f>(1-D50)*E50</f>
        <v>0.0022559999999999998</v>
      </c>
      <c r="K50" s="65">
        <f>D50</f>
        <v>0.06</v>
      </c>
      <c r="L50" s="65">
        <f>(1-D50)*H50*p_cure_early</f>
        <v>0.08459999999999998</v>
      </c>
      <c r="M50" s="65">
        <f>(1-D50)*(1-H50)*(1-p_progression)</f>
        <v>0.6345</v>
      </c>
      <c r="N50" s="65">
        <f>(1-D50)*(H50*(1-p_cure_early)+(1-H50)*p_progression)</f>
        <v>0.22089999999999999</v>
      </c>
      <c r="O50" s="65">
        <f>D50</f>
        <v>0.06</v>
      </c>
      <c r="P50" s="65">
        <f>1-Q50</f>
        <v>0.705</v>
      </c>
      <c r="Q50" s="65">
        <f>1-(1-D50)*(1-p_death_advanced)</f>
        <v>0.29500000000000004</v>
      </c>
      <c r="R50" s="67">
        <f>R49*I49+S49*L49</f>
        <v>58228.86422607303</v>
      </c>
      <c r="S50" s="67">
        <f>R49*J49+S49*M49</f>
        <v>376.0532383593315</v>
      </c>
      <c r="T50" s="67">
        <f>S49*N49+T49*P49</f>
        <v>259.3137129157359</v>
      </c>
      <c r="U50" s="67">
        <f>U49+R49*K49+S49*O49+T49*Q49</f>
        <v>41135.76882265186</v>
      </c>
      <c r="V50" s="67">
        <f>R50+S50+T50</f>
        <v>58864.23117734809</v>
      </c>
      <c r="W50" s="67">
        <f>R50*J50</f>
        <v>131.36431769402074</v>
      </c>
      <c r="X50" s="67">
        <f>S50*(1-D50)*H50</f>
        <v>35.34900440577715</v>
      </c>
      <c r="Y50" s="67">
        <f>S50*(1-D50)*(1-H50)*p_progression</f>
        <v>79.53525991299861</v>
      </c>
      <c r="Z50" s="67">
        <f>X50+Y50</f>
        <v>114.88426431877576</v>
      </c>
      <c r="AA50" s="67">
        <f>T50*(1-D50)*p_death_advanced</f>
        <v>60.93872253519793</v>
      </c>
      <c r="AB50" s="67">
        <f>(R50+S50)*G50</f>
        <v>0.0</v>
      </c>
      <c r="AC50" s="67">
        <f>G50*(R50*(1-screen_specificity)+S50*screen_sensitivity)</f>
        <v>0.0</v>
      </c>
      <c r="AD50" s="68">
        <f>AB50*cost_screen_test+AC50*cost_followup_test</f>
        <v>0.0</v>
      </c>
      <c r="AE50" s="68">
        <f>X50*cost_early_treatment</f>
        <v>530235.0660866572</v>
      </c>
      <c r="AF50" s="68">
        <f>T50*cost_advanced_year</f>
        <v>5186274.258314718</v>
      </c>
      <c r="AG50" s="68">
        <f>AD50+AE50+AF50</f>
        <v>5716509.324401375</v>
      </c>
      <c r="AH50" s="67">
        <f>V50</f>
        <v>58864.23117734809</v>
      </c>
      <c r="AI50" s="67">
        <f>R50*u_healthy+S50*u_early+T50*u_advanced</f>
        <v>52868.24559817482</v>
      </c>
      <c r="AJ50" s="69">
        <f>1/(1+disc_costs)^A50</f>
        <v>0.2976280007512683</v>
      </c>
      <c r="AK50" s="69">
        <f>1/(1+disc_effects)^A50</f>
        <v>0.2976280007512683</v>
      </c>
      <c r="AL50" s="68">
        <f>AG50*AJ50</f>
        <v>1701393.2414975646</v>
      </c>
      <c r="AM50" s="67">
        <f>AI50*AK50</f>
        <v>15735.07024061181</v>
      </c>
      <c r="AN50" s="67">
        <f>AH50*AK50</f>
        <v>17519.643441074586</v>
      </c>
      <c r="AO50" s="64" t="str">
        <f>IF(AND(ABS(V50+U50-cohort_size)&lt;0.000001*cohort_size,MIN(I50:Q50)&gt;=0,MAX(I50:Q50)&lt;=1),"OK","CHECK")</f>
        <v>OK</v>
      </c>
    </row>
    <row r="51">
      <c r="A51" s="63">
        <f>A50+1</f>
        <v>42.0</v>
      </c>
      <c r="B51" s="63">
        <f>start_age+A51</f>
        <v>82.0</v>
      </c>
      <c r="C51" s="64" t="str">
        <f>INDEX(age_band_label,MATCH(B51,age_band_start,1))</f>
        <v>80-84</v>
      </c>
      <c r="D51" s="65">
        <f>INDEX(p_background_death,MATCH(B51,age_band_start,1))</f>
        <v>0.06</v>
      </c>
      <c r="E51" s="65">
        <f>INDEX(p_cancer_onset,MATCH(B51,age_band_start,1))</f>
        <v>0.0024</v>
      </c>
      <c r="F51" s="63">
        <f>IF(AND($B$3="Yes",B51&gt;=$E$3,B51&lt;=$H$3),1,0)</f>
        <v>0.0</v>
      </c>
      <c r="G51" s="66">
        <f>F51*screen_participation</f>
        <v>0.0</v>
      </c>
      <c r="H51" s="65">
        <f>1-(1-p_detect_symptoms)*(1-G51*screen_sensitivity)</f>
        <v>0.09999999999999998</v>
      </c>
      <c r="I51" s="65">
        <f>1-J51-K51</f>
        <v>0.9377439999999999</v>
      </c>
      <c r="J51" s="65">
        <f>(1-D51)*E51</f>
        <v>0.0022559999999999998</v>
      </c>
      <c r="K51" s="65">
        <f>D51</f>
        <v>0.06</v>
      </c>
      <c r="L51" s="65">
        <f>(1-D51)*H51*p_cure_early</f>
        <v>0.08459999999999998</v>
      </c>
      <c r="M51" s="65">
        <f>(1-D51)*(1-H51)*(1-p_progression)</f>
        <v>0.6345</v>
      </c>
      <c r="N51" s="65">
        <f>(1-D51)*(H51*(1-p_cure_early)+(1-H51)*p_progression)</f>
        <v>0.22089999999999999</v>
      </c>
      <c r="O51" s="65">
        <f>D51</f>
        <v>0.06</v>
      </c>
      <c r="P51" s="65">
        <f>1-Q51</f>
        <v>0.705</v>
      </c>
      <c r="Q51" s="65">
        <f>1-(1-D51)*(1-p_death_advanced)</f>
        <v>0.29500000000000004</v>
      </c>
      <c r="R51" s="67">
        <f>R50*I50+S50*L50</f>
        <v>54635.58215877981</v>
      </c>
      <c r="S51" s="67">
        <f>R50*J50+S50*M50</f>
        <v>369.9700974330166</v>
      </c>
      <c r="T51" s="67">
        <f>S50*N50+T50*P50</f>
        <v>265.8863279591701</v>
      </c>
      <c r="U51" s="67">
        <f>U50+R50*K50+S50*O50+T50*Q50</f>
        <v>44728.56141582794</v>
      </c>
      <c r="V51" s="67">
        <f>R51+S51+T51</f>
        <v>55271.438584172</v>
      </c>
      <c r="W51" s="67">
        <f>R51*J51</f>
        <v>123.25787335020725</v>
      </c>
      <c r="X51" s="67">
        <f>S51*(1-D51)*H51</f>
        <v>34.77718915870355</v>
      </c>
      <c r="Y51" s="67">
        <f>S51*(1-D51)*(1-H51)*p_progression</f>
        <v>78.248675607083</v>
      </c>
      <c r="Z51" s="67">
        <f>X51+Y51</f>
        <v>113.02586476578655</v>
      </c>
      <c r="AA51" s="67">
        <f>T51*(1-D51)*p_death_advanced</f>
        <v>62.48328707040497</v>
      </c>
      <c r="AB51" s="67">
        <f>(R51+S51)*G51</f>
        <v>0.0</v>
      </c>
      <c r="AC51" s="67">
        <f>G51*(R51*(1-screen_specificity)+S51*screen_sensitivity)</f>
        <v>0.0</v>
      </c>
      <c r="AD51" s="68">
        <f>AB51*cost_screen_test+AC51*cost_followup_test</f>
        <v>0.0</v>
      </c>
      <c r="AE51" s="68">
        <f>X51*cost_early_treatment</f>
        <v>521657.83738055325</v>
      </c>
      <c r="AF51" s="68">
        <f>T51*cost_advanced_year</f>
        <v>5317726.559183402</v>
      </c>
      <c r="AG51" s="68">
        <f>AD51+AE51+AF51</f>
        <v>5839384.396563956</v>
      </c>
      <c r="AH51" s="67">
        <f>V51</f>
        <v>55271.438584172</v>
      </c>
      <c r="AI51" s="67">
        <f>R51*u_healthy+S51*u_early+T51*u_advanced</f>
        <v>49632.736006097446</v>
      </c>
      <c r="AJ51" s="69">
        <f>1/(1+disc_costs)^A51</f>
        <v>0.2889592240303575</v>
      </c>
      <c r="AK51" s="69">
        <f>1/(1+disc_effects)^A51</f>
        <v>0.2889592240303575</v>
      </c>
      <c r="AL51" s="68">
        <f>AG51*AJ51</f>
        <v>1687343.984046098</v>
      </c>
      <c r="AM51" s="67">
        <f>AI51*AK51</f>
        <v>14341.836882825504</v>
      </c>
      <c r="AN51" s="67">
        <f>AH51*AK51</f>
        <v>15971.192004323902</v>
      </c>
      <c r="AO51" s="64" t="str">
        <f>IF(AND(ABS(V51+U51-cohort_size)&lt;0.000001*cohort_size,MIN(I51:Q51)&gt;=0,MAX(I51:Q51)&lt;=1),"OK","CHECK")</f>
        <v>OK</v>
      </c>
    </row>
    <row r="52">
      <c r="A52" s="63">
        <f>A51+1</f>
        <v>43.0</v>
      </c>
      <c r="B52" s="63">
        <f>start_age+A52</f>
        <v>83.0</v>
      </c>
      <c r="C52" s="64" t="str">
        <f>INDEX(age_band_label,MATCH(B52,age_band_start,1))</f>
        <v>80-84</v>
      </c>
      <c r="D52" s="65">
        <f>INDEX(p_background_death,MATCH(B52,age_band_start,1))</f>
        <v>0.06</v>
      </c>
      <c r="E52" s="65">
        <f>INDEX(p_cancer_onset,MATCH(B52,age_band_start,1))</f>
        <v>0.0024</v>
      </c>
      <c r="F52" s="63">
        <f>IF(AND($B$3="Yes",B52&gt;=$E$3,B52&lt;=$H$3),1,0)</f>
        <v>0.0</v>
      </c>
      <c r="G52" s="66">
        <f>F52*screen_participation</f>
        <v>0.0</v>
      </c>
      <c r="H52" s="65">
        <f>1-(1-p_detect_symptoms)*(1-G52*screen_sensitivity)</f>
        <v>0.09999999999999998</v>
      </c>
      <c r="I52" s="65">
        <f>1-J52-K52</f>
        <v>0.9377439999999999</v>
      </c>
      <c r="J52" s="65">
        <f>(1-D52)*E52</f>
        <v>0.0022559999999999998</v>
      </c>
      <c r="K52" s="65">
        <f>D52</f>
        <v>0.06</v>
      </c>
      <c r="L52" s="65">
        <f>(1-D52)*H52*p_cure_early</f>
        <v>0.08459999999999998</v>
      </c>
      <c r="M52" s="65">
        <f>(1-D52)*(1-H52)*(1-p_progression)</f>
        <v>0.6345</v>
      </c>
      <c r="N52" s="65">
        <f>(1-D52)*(H52*(1-p_cure_early)+(1-H52)*p_progression)</f>
        <v>0.22089999999999999</v>
      </c>
      <c r="O52" s="65">
        <f>D52</f>
        <v>0.06</v>
      </c>
      <c r="P52" s="65">
        <f>1-Q52</f>
        <v>0.705</v>
      </c>
      <c r="Q52" s="65">
        <f>1-(1-D52)*(1-p_death_advanced)</f>
        <v>0.29500000000000004</v>
      </c>
      <c r="R52" s="67">
        <f>R51*I51+S51*L51</f>
        <v>51265.48882614564</v>
      </c>
      <c r="S52" s="67">
        <f>R51*J51+S51*M51</f>
        <v>358.0039001714562</v>
      </c>
      <c r="T52" s="67">
        <f>S51*N51+T51*P51</f>
        <v>269.17625573416825</v>
      </c>
      <c r="U52" s="67">
        <f>U51+R51*K51+S51*O51+T51*Q51</f>
        <v>48107.331017948665</v>
      </c>
      <c r="V52" s="67">
        <f>R52+S52+T52</f>
        <v>51892.66898205127</v>
      </c>
      <c r="W52" s="67">
        <f>R52*J52</f>
        <v>115.65494279178456</v>
      </c>
      <c r="X52" s="67">
        <f>S52*(1-D52)*H52</f>
        <v>33.65236661611687</v>
      </c>
      <c r="Y52" s="67">
        <f>S52*(1-D52)*(1-H52)*p_progression</f>
        <v>75.71782488626299</v>
      </c>
      <c r="Z52" s="67">
        <f>X52+Y52</f>
        <v>109.37019150237987</v>
      </c>
      <c r="AA52" s="67">
        <f>T52*(1-D52)*p_death_advanced</f>
        <v>63.256420097529535</v>
      </c>
      <c r="AB52" s="67">
        <f>(R52+S52)*G52</f>
        <v>0.0</v>
      </c>
      <c r="AC52" s="67">
        <f>G52*(R52*(1-screen_specificity)+S52*screen_sensitivity)</f>
        <v>0.0</v>
      </c>
      <c r="AD52" s="68">
        <f>AB52*cost_screen_test+AC52*cost_followup_test</f>
        <v>0.0</v>
      </c>
      <c r="AE52" s="68">
        <f>X52*cost_early_treatment</f>
        <v>504785.4992417531</v>
      </c>
      <c r="AF52" s="68">
        <f>T52*cost_advanced_year</f>
        <v>5383525.114683365</v>
      </c>
      <c r="AG52" s="68">
        <f>AD52+AE52+AF52</f>
        <v>5888310.613925119</v>
      </c>
      <c r="AH52" s="67">
        <f>V52</f>
        <v>51892.66898205127</v>
      </c>
      <c r="AI52" s="67">
        <f>R52*u_healthy+S52*u_early+T52*u_advanced</f>
        <v>46591.29019933061</v>
      </c>
      <c r="AJ52" s="69">
        <f>1/(1+disc_costs)^A52</f>
        <v>0.2805429359518034</v>
      </c>
      <c r="AK52" s="69">
        <f>1/(1+disc_effects)^A52</f>
        <v>0.2805429359518034</v>
      </c>
      <c r="AL52" s="68">
        <f>AG52*AJ52</f>
        <v>1651923.947426719</v>
      </c>
      <c r="AM52" s="67">
        <f>AI52*AK52</f>
        <v>13070.857342302692</v>
      </c>
      <c r="AN52" s="67">
        <f>AH52*AK52</f>
        <v>14558.121710599744</v>
      </c>
      <c r="AO52" s="64" t="str">
        <f>IF(AND(ABS(V52+U52-cohort_size)&lt;0.000001*cohort_size,MIN(I52:Q52)&gt;=0,MAX(I52:Q52)&lt;=1),"OK","CHECK")</f>
        <v>OK</v>
      </c>
    </row>
    <row r="53">
      <c r="A53" s="63">
        <f>A52+1</f>
        <v>44.0</v>
      </c>
      <c r="B53" s="63">
        <f>start_age+A53</f>
        <v>84.0</v>
      </c>
      <c r="C53" s="64" t="str">
        <f>INDEX(age_band_label,MATCH(B53,age_band_start,1))</f>
        <v>80-84</v>
      </c>
      <c r="D53" s="65">
        <f>INDEX(p_background_death,MATCH(B53,age_band_start,1))</f>
        <v>0.06</v>
      </c>
      <c r="E53" s="65">
        <f>INDEX(p_cancer_onset,MATCH(B53,age_band_start,1))</f>
        <v>0.0024</v>
      </c>
      <c r="F53" s="63">
        <f>IF(AND($B$3="Yes",B53&gt;=$E$3,B53&lt;=$H$3),1,0)</f>
        <v>0.0</v>
      </c>
      <c r="G53" s="66">
        <f>F53*screen_participation</f>
        <v>0.0</v>
      </c>
      <c r="H53" s="65">
        <f>1-(1-p_detect_symptoms)*(1-G53*screen_sensitivity)</f>
        <v>0.09999999999999998</v>
      </c>
      <c r="I53" s="65">
        <f>1-J53-K53</f>
        <v>0.9377439999999999</v>
      </c>
      <c r="J53" s="65">
        <f>(1-D53)*E53</f>
        <v>0.0022559999999999998</v>
      </c>
      <c r="K53" s="65">
        <f>D53</f>
        <v>0.06</v>
      </c>
      <c r="L53" s="65">
        <f>(1-D53)*H53*p_cure_early</f>
        <v>0.08459999999999998</v>
      </c>
      <c r="M53" s="65">
        <f>(1-D53)*(1-H53)*(1-p_progression)</f>
        <v>0.6345</v>
      </c>
      <c r="N53" s="65">
        <f>(1-D53)*(H53*(1-p_cure_early)+(1-H53)*p_progression)</f>
        <v>0.22089999999999999</v>
      </c>
      <c r="O53" s="65">
        <f>D53</f>
        <v>0.06</v>
      </c>
      <c r="P53" s="65">
        <f>1-Q53</f>
        <v>0.705</v>
      </c>
      <c r="Q53" s="65">
        <f>1-(1-D53)*(1-p_death_advanced)</f>
        <v>0.29500000000000004</v>
      </c>
      <c r="R53" s="67">
        <f>R52*I52+S52*L52</f>
        <v>48104.19168373962</v>
      </c>
      <c r="S53" s="67">
        <f>R52*J52+S52*M52</f>
        <v>342.80841745057353</v>
      </c>
      <c r="T53" s="67">
        <f>S52*N52+T52*P52</f>
        <v>268.8523218404633</v>
      </c>
      <c r="U53" s="67">
        <f>U52+R52*K52+S52*O52+T52*Q52</f>
        <v>51284.14757696928</v>
      </c>
      <c r="V53" s="67">
        <f>R53+S53+T53</f>
        <v>48715.85242303066</v>
      </c>
      <c r="W53" s="67">
        <f>R53*J53</f>
        <v>108.52305643851658</v>
      </c>
      <c r="X53" s="67">
        <f>S53*(1-D53)*H53</f>
        <v>32.223991240353904</v>
      </c>
      <c r="Y53" s="67">
        <f>S53*(1-D53)*(1-H53)*p_progression</f>
        <v>72.5039802907963</v>
      </c>
      <c r="Z53" s="67">
        <f>X53+Y53</f>
        <v>104.72797153115022</v>
      </c>
      <c r="AA53" s="67">
        <f>T53*(1-D53)*p_death_advanced</f>
        <v>63.180295632508866</v>
      </c>
      <c r="AB53" s="67">
        <f>(R53+S53)*G53</f>
        <v>0.0</v>
      </c>
      <c r="AC53" s="67">
        <f>G53*(R53*(1-screen_specificity)+S53*screen_sensitivity)</f>
        <v>0.0</v>
      </c>
      <c r="AD53" s="68">
        <f>AB53*cost_screen_test+AC53*cost_followup_test</f>
        <v>0.0</v>
      </c>
      <c r="AE53" s="68">
        <f>X53*cost_early_treatment</f>
        <v>483359.8686053086</v>
      </c>
      <c r="AF53" s="68">
        <f>T53*cost_advanced_year</f>
        <v>5377046.436809265</v>
      </c>
      <c r="AG53" s="68">
        <f>AD53+AE53+AF53</f>
        <v>5860406.305414573</v>
      </c>
      <c r="AH53" s="67">
        <f>V53</f>
        <v>48715.85242303066</v>
      </c>
      <c r="AI53" s="67">
        <f>R53*u_healthy+S53*u_early+T53*u_advanced</f>
        <v>43733.0284472109</v>
      </c>
      <c r="AJ53" s="69">
        <f>1/(1+disc_costs)^A53</f>
        <v>0.272371782477479</v>
      </c>
      <c r="AK53" s="69">
        <f>1/(1+disc_effects)^A53</f>
        <v>0.272371782477479</v>
      </c>
      <c r="AL53" s="68">
        <f>AG53*AJ53</f>
        <v>1596209.3114480246</v>
      </c>
      <c r="AM53" s="67">
        <f>AI53*AK53</f>
        <v>11911.642911305129</v>
      </c>
      <c r="AN53" s="67">
        <f>AH53*AK53</f>
        <v>13268.823559370674</v>
      </c>
      <c r="AO53" s="64" t="str">
        <f>IF(AND(ABS(V53+U53-cohort_size)&lt;0.000001*cohort_size,MIN(I53:Q53)&gt;=0,MAX(I53:Q53)&lt;=1),"OK","CHECK")</f>
        <v>OK</v>
      </c>
    </row>
    <row r="54">
      <c r="A54" s="63">
        <f>A53+1</f>
        <v>45.0</v>
      </c>
      <c r="B54" s="63">
        <f>start_age+A54</f>
        <v>85.0</v>
      </c>
      <c r="C54" s="64" t="str">
        <f>INDEX(age_band_label,MATCH(B54,age_band_start,1))</f>
        <v>85-89</v>
      </c>
      <c r="D54" s="65">
        <f>INDEX(p_background_death,MATCH(B54,age_band_start,1))</f>
        <v>0.105</v>
      </c>
      <c r="E54" s="65">
        <f>INDEX(p_cancer_onset,MATCH(B54,age_band_start,1))</f>
        <v>0.0024</v>
      </c>
      <c r="F54" s="63">
        <f>IF(AND($B$3="Yes",B54&gt;=$E$3,B54&lt;=$H$3),1,0)</f>
        <v>0.0</v>
      </c>
      <c r="G54" s="66">
        <f>F54*screen_participation</f>
        <v>0.0</v>
      </c>
      <c r="H54" s="65">
        <f>1-(1-p_detect_symptoms)*(1-G54*screen_sensitivity)</f>
        <v>0.09999999999999998</v>
      </c>
      <c r="I54" s="65">
        <f>1-J54-K54</f>
        <v>0.892852</v>
      </c>
      <c r="J54" s="65">
        <f>(1-D54)*E54</f>
        <v>0.0021479999999999997</v>
      </c>
      <c r="K54" s="65">
        <f>D54</f>
        <v>0.105</v>
      </c>
      <c r="L54" s="65">
        <f>(1-D54)*H54*p_cure_early</f>
        <v>0.08054999999999998</v>
      </c>
      <c r="M54" s="65">
        <f>(1-D54)*(1-H54)*(1-p_progression)</f>
        <v>0.604125</v>
      </c>
      <c r="N54" s="65">
        <f>(1-D54)*(H54*(1-p_cure_early)+(1-H54)*p_progression)</f>
        <v>0.21032499999999998</v>
      </c>
      <c r="O54" s="65">
        <f>D54</f>
        <v>0.105</v>
      </c>
      <c r="P54" s="65">
        <f>1-Q54</f>
        <v>0.67125</v>
      </c>
      <c r="Q54" s="65">
        <f>1-(1-D54)*(1-p_death_advanced)</f>
        <v>0.32875</v>
      </c>
      <c r="R54" s="67">
        <f>R53*I53+S53*L53</f>
        <v>45138.41871839304</v>
      </c>
      <c r="S54" s="67">
        <f>R53*J53+S53*M53</f>
        <v>326.03499731090545</v>
      </c>
      <c r="T54" s="67">
        <f>S53*N53+T53*P53</f>
        <v>265.2672663123583</v>
      </c>
      <c r="U54" s="67">
        <f>U53+R53*K53+S53*O53+T53*Q53</f>
        <v>54270.27901798363</v>
      </c>
      <c r="V54" s="67">
        <f>R54+S54+T54</f>
        <v>45729.720982016304</v>
      </c>
      <c r="W54" s="67">
        <f>R54*J54</f>
        <v>96.95732340710823</v>
      </c>
      <c r="X54" s="67">
        <f>S54*(1-D54)*H54</f>
        <v>29.180132259326033</v>
      </c>
      <c r="Y54" s="67">
        <f>S54*(1-D54)*(1-H54)*p_progression</f>
        <v>65.65529758348359</v>
      </c>
      <c r="Z54" s="67">
        <f>X54+Y54</f>
        <v>94.83542984280962</v>
      </c>
      <c r="AA54" s="67">
        <f>T54*(1-D54)*p_death_advanced</f>
        <v>59.353550837390166</v>
      </c>
      <c r="AB54" s="67">
        <f>(R54+S54)*G54</f>
        <v>0.0</v>
      </c>
      <c r="AC54" s="67">
        <f>G54*(R54*(1-screen_specificity)+S54*screen_sensitivity)</f>
        <v>0.0</v>
      </c>
      <c r="AD54" s="68">
        <f>AB54*cost_screen_test+AC54*cost_followup_test</f>
        <v>0.0</v>
      </c>
      <c r="AE54" s="68">
        <f>X54*cost_early_treatment</f>
        <v>437701.9838898905</v>
      </c>
      <c r="AF54" s="68">
        <f>T54*cost_advanced_year</f>
        <v>5305345.326247166</v>
      </c>
      <c r="AG54" s="68">
        <f>AD54+AE54+AF54</f>
        <v>5743047.310137057</v>
      </c>
      <c r="AH54" s="67">
        <f>V54</f>
        <v>45729.720982016304</v>
      </c>
      <c r="AI54" s="67">
        <f>R54*u_healthy+S54*u_early+T54*u_advanced</f>
        <v>41047.60359073981</v>
      </c>
      <c r="AJ54" s="69">
        <f>1/(1+disc_costs)^A54</f>
        <v>0.26443862376454275</v>
      </c>
      <c r="AK54" s="69">
        <f>1/(1+disc_effects)^A54</f>
        <v>0.26443862376454275</v>
      </c>
      <c r="AL54" s="68">
        <f>AG54*AJ54</f>
        <v>1518683.5269073024</v>
      </c>
      <c r="AM54" s="67">
        <f>AI54*AK54</f>
        <v>10854.571802367738</v>
      </c>
      <c r="AN54" s="67">
        <f>AH54*AK54</f>
        <v>12092.704481620925</v>
      </c>
      <c r="AO54" s="64" t="str">
        <f>IF(AND(ABS(V54+U54-cohort_size)&lt;0.000001*cohort_size,MIN(I54:Q54)&gt;=0,MAX(I54:Q54)&lt;=1),"OK","CHECK")</f>
        <v>OK</v>
      </c>
    </row>
    <row r="55">
      <c r="A55" s="63">
        <f>A54+1</f>
        <v>46.0</v>
      </c>
      <c r="B55" s="63">
        <f>start_age+A55</f>
        <v>86.0</v>
      </c>
      <c r="C55" s="64" t="str">
        <f>INDEX(age_band_label,MATCH(B55,age_band_start,1))</f>
        <v>85-89</v>
      </c>
      <c r="D55" s="65">
        <f>INDEX(p_background_death,MATCH(B55,age_band_start,1))</f>
        <v>0.105</v>
      </c>
      <c r="E55" s="65">
        <f>INDEX(p_cancer_onset,MATCH(B55,age_band_start,1))</f>
        <v>0.0024</v>
      </c>
      <c r="F55" s="63">
        <f>IF(AND($B$3="Yes",B55&gt;=$E$3,B55&lt;=$H$3),1,0)</f>
        <v>0.0</v>
      </c>
      <c r="G55" s="66">
        <f>F55*screen_participation</f>
        <v>0.0</v>
      </c>
      <c r="H55" s="65">
        <f>1-(1-p_detect_symptoms)*(1-G55*screen_sensitivity)</f>
        <v>0.09999999999999998</v>
      </c>
      <c r="I55" s="65">
        <f>1-J55-K55</f>
        <v>0.892852</v>
      </c>
      <c r="J55" s="65">
        <f>(1-D55)*E55</f>
        <v>0.0021479999999999997</v>
      </c>
      <c r="K55" s="65">
        <f>D55</f>
        <v>0.105</v>
      </c>
      <c r="L55" s="65">
        <f>(1-D55)*H55*p_cure_early</f>
        <v>0.08054999999999998</v>
      </c>
      <c r="M55" s="65">
        <f>(1-D55)*(1-H55)*(1-p_progression)</f>
        <v>0.604125</v>
      </c>
      <c r="N55" s="65">
        <f>(1-D55)*(H55*(1-p_cure_early)+(1-H55)*p_progression)</f>
        <v>0.21032499999999998</v>
      </c>
      <c r="O55" s="65">
        <f>D55</f>
        <v>0.105</v>
      </c>
      <c r="P55" s="65">
        <f>1-Q55</f>
        <v>0.67125</v>
      </c>
      <c r="Q55" s="65">
        <f>1-(1-D55)*(1-p_death_advanced)</f>
        <v>0.32875</v>
      </c>
      <c r="R55" s="67">
        <f>R54*I54+S54*L54</f>
        <v>40328.18954858806</v>
      </c>
      <c r="S55" s="67">
        <f>R54*J54+S54*M54</f>
        <v>293.923216157559</v>
      </c>
      <c r="T55" s="67">
        <f>S54*N54+T54*P54</f>
        <v>246.6339633215867</v>
      </c>
      <c r="U55" s="67">
        <f>U54+R54*K54+S54*O54+T54*Q54</f>
        <v>59131.253271932736</v>
      </c>
      <c r="V55" s="67">
        <f>R55+S55+T55</f>
        <v>40868.746728067206</v>
      </c>
      <c r="W55" s="67">
        <f>R55*J55</f>
        <v>86.62495115036714</v>
      </c>
      <c r="X55" s="67">
        <f>S55*(1-D55)*H55</f>
        <v>26.306127846101525</v>
      </c>
      <c r="Y55" s="67">
        <f>S55*(1-D55)*(1-H55)*p_progression</f>
        <v>59.18878765372845</v>
      </c>
      <c r="Z55" s="67">
        <f>X55+Y55</f>
        <v>85.49491549982997</v>
      </c>
      <c r="AA55" s="67">
        <f>T55*(1-D55)*p_death_advanced</f>
        <v>55.184349293205024</v>
      </c>
      <c r="AB55" s="67">
        <f>(R55+S55)*G55</f>
        <v>0.0</v>
      </c>
      <c r="AC55" s="67">
        <f>G55*(R55*(1-screen_specificity)+S55*screen_sensitivity)</f>
        <v>0.0</v>
      </c>
      <c r="AD55" s="68">
        <f>AB55*cost_screen_test+AC55*cost_followup_test</f>
        <v>0.0</v>
      </c>
      <c r="AE55" s="68">
        <f>X55*cost_early_treatment</f>
        <v>394591.91769152286</v>
      </c>
      <c r="AF55" s="68">
        <f>T55*cost_advanced_year</f>
        <v>4932679.266431734</v>
      </c>
      <c r="AG55" s="68">
        <f>AD55+AE55+AF55</f>
        <v>5327271.184123257</v>
      </c>
      <c r="AH55" s="67">
        <f>V55</f>
        <v>40868.746728067206</v>
      </c>
      <c r="AI55" s="67">
        <f>R55*u_healthy+S55*u_early+T55*u_advanced</f>
        <v>36680.85400729005</v>
      </c>
      <c r="AJ55" s="69">
        <f>1/(1+disc_costs)^A55</f>
        <v>0.2567365279267405</v>
      </c>
      <c r="AK55" s="69">
        <f>1/(1+disc_effects)^A55</f>
        <v>0.2567365279267405</v>
      </c>
      <c r="AL55" s="68">
        <f>AG55*AJ55</f>
        <v>1367705.1071359806</v>
      </c>
      <c r="AM55" s="67">
        <f>AI55*AK55</f>
        <v>9417.315099219313</v>
      </c>
      <c r="AN55" s="67">
        <f>AH55*AK55</f>
        <v>10492.500135681312</v>
      </c>
      <c r="AO55" s="64" t="str">
        <f>IF(AND(ABS(V55+U55-cohort_size)&lt;0.000001*cohort_size,MIN(I55:Q55)&gt;=0,MAX(I55:Q55)&lt;=1),"OK","CHECK")</f>
        <v>OK</v>
      </c>
    </row>
    <row r="56">
      <c r="A56" s="63">
        <f>A55+1</f>
        <v>47.0</v>
      </c>
      <c r="B56" s="63">
        <f>start_age+A56</f>
        <v>87.0</v>
      </c>
      <c r="C56" s="64" t="str">
        <f>INDEX(age_band_label,MATCH(B56,age_band_start,1))</f>
        <v>85-89</v>
      </c>
      <c r="D56" s="65">
        <f>INDEX(p_background_death,MATCH(B56,age_band_start,1))</f>
        <v>0.105</v>
      </c>
      <c r="E56" s="65">
        <f>INDEX(p_cancer_onset,MATCH(B56,age_band_start,1))</f>
        <v>0.0024</v>
      </c>
      <c r="F56" s="63">
        <f>IF(AND($B$3="Yes",B56&gt;=$E$3,B56&lt;=$H$3),1,0)</f>
        <v>0.0</v>
      </c>
      <c r="G56" s="66">
        <f>F56*screen_participation</f>
        <v>0.0</v>
      </c>
      <c r="H56" s="65">
        <f>1-(1-p_detect_symptoms)*(1-G56*screen_sensitivity)</f>
        <v>0.09999999999999998</v>
      </c>
      <c r="I56" s="65">
        <f>1-J56-K56</f>
        <v>0.892852</v>
      </c>
      <c r="J56" s="65">
        <f>(1-D56)*E56</f>
        <v>0.0021479999999999997</v>
      </c>
      <c r="K56" s="65">
        <f>D56</f>
        <v>0.105</v>
      </c>
      <c r="L56" s="65">
        <f>(1-D56)*H56*p_cure_early</f>
        <v>0.08054999999999998</v>
      </c>
      <c r="M56" s="65">
        <f>(1-D56)*(1-H56)*(1-p_progression)</f>
        <v>0.604125</v>
      </c>
      <c r="N56" s="65">
        <f>(1-D56)*(H56*(1-p_cure_early)+(1-H56)*p_progression)</f>
        <v>0.21032499999999998</v>
      </c>
      <c r="O56" s="65">
        <f>D56</f>
        <v>0.105</v>
      </c>
      <c r="P56" s="65">
        <f>1-Q56</f>
        <v>0.67125</v>
      </c>
      <c r="Q56" s="65">
        <f>1-(1-D56)*(1-p_death_advanced)</f>
        <v>0.32875</v>
      </c>
      <c r="R56" s="67">
        <f>R55*I55+S55*L55</f>
        <v>36030.780209897435</v>
      </c>
      <c r="S56" s="67">
        <f>R55*J55+S55*M55</f>
        <v>264.1913141115525</v>
      </c>
      <c r="T56" s="67">
        <f>S55*N55+T55*P55</f>
        <v>227.37244831795365</v>
      </c>
      <c r="U56" s="67">
        <f>U55+R55*K55+S55*O55+T55*Q55</f>
        <v>63477.656027672994</v>
      </c>
      <c r="V56" s="67">
        <f>R56+S56+T56</f>
        <v>36522.34397232694</v>
      </c>
      <c r="W56" s="67">
        <f>R56*J56</f>
        <v>77.39411589085968</v>
      </c>
      <c r="X56" s="67">
        <f>S56*(1-D56)*H56</f>
        <v>23.645122612983947</v>
      </c>
      <c r="Y56" s="67">
        <f>S56*(1-D56)*(1-H56)*p_progression</f>
        <v>53.20152587921389</v>
      </c>
      <c r="Z56" s="67">
        <f>X56+Y56</f>
        <v>76.84664849219783</v>
      </c>
      <c r="AA56" s="67">
        <f>T56*(1-D56)*p_death_advanced</f>
        <v>50.874585311142134</v>
      </c>
      <c r="AB56" s="67">
        <f>(R56+S56)*G56</f>
        <v>0.0</v>
      </c>
      <c r="AC56" s="67">
        <f>G56*(R56*(1-screen_specificity)+S56*screen_sensitivity)</f>
        <v>0.0</v>
      </c>
      <c r="AD56" s="68">
        <f>AB56*cost_screen_test+AC56*cost_followup_test</f>
        <v>0.0</v>
      </c>
      <c r="AE56" s="68">
        <f>X56*cost_early_treatment</f>
        <v>354676.8391947592</v>
      </c>
      <c r="AF56" s="68">
        <f>T56*cost_advanced_year</f>
        <v>4547448.966359073</v>
      </c>
      <c r="AG56" s="68">
        <f>AD56+AE56+AF56</f>
        <v>4902125.805553832</v>
      </c>
      <c r="AH56" s="67">
        <f>V56</f>
        <v>36522.34397232694</v>
      </c>
      <c r="AI56" s="67">
        <f>R56*u_healthy+S56*u_early+T56*u_advanced</f>
        <v>32777.31965247739</v>
      </c>
      <c r="AJ56" s="69">
        <f>1/(1+disc_costs)^A56</f>
        <v>0.249258764977418</v>
      </c>
      <c r="AK56" s="69">
        <f>1/(1+disc_effects)^A56</f>
        <v>0.249258764977418</v>
      </c>
      <c r="AL56" s="68">
        <f>AG56*AJ56</f>
        <v>1221897.8240562784</v>
      </c>
      <c r="AM56" s="67">
        <f>AI56*AK56</f>
        <v>8170.0342158465655</v>
      </c>
      <c r="AN56" s="67">
        <f>AH56*AK56</f>
        <v>9103.51435262266</v>
      </c>
      <c r="AO56" s="64" t="str">
        <f>IF(AND(ABS(V56+U56-cohort_size)&lt;0.000001*cohort_size,MIN(I56:Q56)&gt;=0,MAX(I56:Q56)&lt;=1),"OK","CHECK")</f>
        <v>OK</v>
      </c>
    </row>
    <row r="57">
      <c r="A57" s="63">
        <f>A56+1</f>
        <v>48.0</v>
      </c>
      <c r="B57" s="63">
        <f>start_age+A57</f>
        <v>88.0</v>
      </c>
      <c r="C57" s="64" t="str">
        <f>INDEX(age_band_label,MATCH(B57,age_band_start,1))</f>
        <v>85-89</v>
      </c>
      <c r="D57" s="65">
        <f>INDEX(p_background_death,MATCH(B57,age_band_start,1))</f>
        <v>0.105</v>
      </c>
      <c r="E57" s="65">
        <f>INDEX(p_cancer_onset,MATCH(B57,age_band_start,1))</f>
        <v>0.0024</v>
      </c>
      <c r="F57" s="63">
        <f>IF(AND($B$3="Yes",B57&gt;=$E$3,B57&lt;=$H$3),1,0)</f>
        <v>0.0</v>
      </c>
      <c r="G57" s="66">
        <f>F57*screen_participation</f>
        <v>0.0</v>
      </c>
      <c r="H57" s="65">
        <f>1-(1-p_detect_symptoms)*(1-G57*screen_sensitivity)</f>
        <v>0.09999999999999998</v>
      </c>
      <c r="I57" s="65">
        <f>1-J57-K57</f>
        <v>0.892852</v>
      </c>
      <c r="J57" s="65">
        <f>(1-D57)*E57</f>
        <v>0.0021479999999999997</v>
      </c>
      <c r="K57" s="65">
        <f>D57</f>
        <v>0.105</v>
      </c>
      <c r="L57" s="65">
        <f>(1-D57)*H57*p_cure_early</f>
        <v>0.08054999999999998</v>
      </c>
      <c r="M57" s="65">
        <f>(1-D57)*(1-H57)*(1-p_progression)</f>
        <v>0.604125</v>
      </c>
      <c r="N57" s="65">
        <f>(1-D57)*(H57*(1-p_cure_early)+(1-H57)*p_progression)</f>
        <v>0.21032499999999998</v>
      </c>
      <c r="O57" s="65">
        <f>D57</f>
        <v>0.105</v>
      </c>
      <c r="P57" s="65">
        <f>1-Q57</f>
        <v>0.67125</v>
      </c>
      <c r="Q57" s="65">
        <f>1-(1-D57)*(1-p_death_advanced)</f>
        <v>0.32875</v>
      </c>
      <c r="R57" s="67">
        <f>R56*I56+S56*L56</f>
        <v>32191.43478231903</v>
      </c>
      <c r="S57" s="67">
        <f>R56*J56+S56*M56</f>
        <v>236.99869352850135</v>
      </c>
      <c r="T57" s="67">
        <f>S56*N56+T56*P56</f>
        <v>208.18979407393869</v>
      </c>
      <c r="U57" s="67">
        <f>U56+R56*K56+S56*O56+T56*Q56</f>
        <v>67363.37673007847</v>
      </c>
      <c r="V57" s="67">
        <f>R57+S57+T57</f>
        <v>32636.62326992147</v>
      </c>
      <c r="W57" s="67">
        <f>R57*J57</f>
        <v>69.14720191242127</v>
      </c>
      <c r="X57" s="67">
        <f>S57*(1-D57)*H57</f>
        <v>21.211383070800867</v>
      </c>
      <c r="Y57" s="67">
        <f>S57*(1-D57)*(1-H57)*p_progression</f>
        <v>47.72561190930196</v>
      </c>
      <c r="Z57" s="67">
        <f>X57+Y57</f>
        <v>68.93699498010282</v>
      </c>
      <c r="AA57" s="67">
        <f>T57*(1-D57)*p_death_advanced</f>
        <v>46.58246642404378</v>
      </c>
      <c r="AB57" s="67">
        <f>(R57+S57)*G57</f>
        <v>0.0</v>
      </c>
      <c r="AC57" s="67">
        <f>G57*(R57*(1-screen_specificity)+S57*screen_sensitivity)</f>
        <v>0.0</v>
      </c>
      <c r="AD57" s="68">
        <f>AB57*cost_screen_test+AC57*cost_followup_test</f>
        <v>0.0</v>
      </c>
      <c r="AE57" s="68">
        <f>X57*cost_early_treatment</f>
        <v>318170.74606201303</v>
      </c>
      <c r="AF57" s="68">
        <f>T57*cost_advanced_year</f>
        <v>4163795.881478774</v>
      </c>
      <c r="AG57" s="68">
        <f>AD57+AE57+AF57</f>
        <v>4481966.627540787</v>
      </c>
      <c r="AH57" s="67">
        <f>V57</f>
        <v>32636.62326992147</v>
      </c>
      <c r="AI57" s="67">
        <f>R57*u_healthy+S57*u_early+T57*u_advanced</f>
        <v>29288.24458032702</v>
      </c>
      <c r="AJ57" s="69">
        <f>1/(1+disc_costs)^A57</f>
        <v>0.2419988009489495</v>
      </c>
      <c r="AK57" s="69">
        <f>1/(1+disc_effects)^A57</f>
        <v>0.2419988009489495</v>
      </c>
      <c r="AL57" s="68">
        <f>AG57*AJ57</f>
        <v>1084630.5497580774</v>
      </c>
      <c r="AM57" s="67">
        <f>AI57*AK57</f>
        <v>7087.720070338707</v>
      </c>
      <c r="AN57" s="67">
        <f>AH57*AK57</f>
        <v>7898.023698343579</v>
      </c>
      <c r="AO57" s="64" t="str">
        <f>IF(AND(ABS(V57+U57-cohort_size)&lt;0.000001*cohort_size,MIN(I57:Q57)&gt;=0,MAX(I57:Q57)&lt;=1),"OK","CHECK")</f>
        <v>OK</v>
      </c>
    </row>
    <row r="58">
      <c r="A58" s="63">
        <f>A57+1</f>
        <v>49.0</v>
      </c>
      <c r="B58" s="63">
        <f>start_age+A58</f>
        <v>89.0</v>
      </c>
      <c r="C58" s="64" t="str">
        <f>INDEX(age_band_label,MATCH(B58,age_band_start,1))</f>
        <v>85-89</v>
      </c>
      <c r="D58" s="65">
        <f>INDEX(p_background_death,MATCH(B58,age_band_start,1))</f>
        <v>0.105</v>
      </c>
      <c r="E58" s="65">
        <f>INDEX(p_cancer_onset,MATCH(B58,age_band_start,1))</f>
        <v>0.0024</v>
      </c>
      <c r="F58" s="63">
        <f>IF(AND($B$3="Yes",B58&gt;=$E$3,B58&lt;=$H$3),1,0)</f>
        <v>0.0</v>
      </c>
      <c r="G58" s="66">
        <f>F58*screen_participation</f>
        <v>0.0</v>
      </c>
      <c r="H58" s="65">
        <f>1-(1-p_detect_symptoms)*(1-G58*screen_sensitivity)</f>
        <v>0.09999999999999998</v>
      </c>
      <c r="I58" s="65">
        <f>1-J58-K58</f>
        <v>0.892852</v>
      </c>
      <c r="J58" s="65">
        <f>(1-D58)*E58</f>
        <v>0.0021479999999999997</v>
      </c>
      <c r="K58" s="65">
        <f>D58</f>
        <v>0.105</v>
      </c>
      <c r="L58" s="65">
        <f>(1-D58)*H58*p_cure_early</f>
        <v>0.08054999999999998</v>
      </c>
      <c r="M58" s="65">
        <f>(1-D58)*(1-H58)*(1-p_progression)</f>
        <v>0.604125</v>
      </c>
      <c r="N58" s="65">
        <f>(1-D58)*(H58*(1-p_cure_early)+(1-H58)*p_progression)</f>
        <v>0.21032499999999998</v>
      </c>
      <c r="O58" s="65">
        <f>D58</f>
        <v>0.105</v>
      </c>
      <c r="P58" s="65">
        <f>1-Q58</f>
        <v>0.67125</v>
      </c>
      <c r="Q58" s="65">
        <f>1-(1-D58)*(1-p_death_advanced)</f>
        <v>0.32875</v>
      </c>
      <c r="R58" s="67">
        <f>R57*I57+S57*L57</f>
        <v>28761.27717302683</v>
      </c>
      <c r="S58" s="67">
        <f>R57*J57+S57*M57</f>
        <v>212.32403764032716</v>
      </c>
      <c r="T58" s="67">
        <f>S57*N57+T57*P57</f>
        <v>189.59414948851338</v>
      </c>
      <c r="U58" s="67">
        <f>U57+R57*K57+S57*O57+T57*Q57</f>
        <v>70836.80463984427</v>
      </c>
      <c r="V58" s="67">
        <f>R58+S58+T58</f>
        <v>29163.195360155667</v>
      </c>
      <c r="W58" s="67">
        <f>R58*J58</f>
        <v>61.77922336766162</v>
      </c>
      <c r="X58" s="67">
        <f>S58*(1-D58)*H58</f>
        <v>19.00300136880928</v>
      </c>
      <c r="Y58" s="67">
        <f>S58*(1-D58)*(1-H58)*p_progression</f>
        <v>42.75675307982089</v>
      </c>
      <c r="Z58" s="67">
        <f>X58+Y58</f>
        <v>61.75975444863017</v>
      </c>
      <c r="AA58" s="67">
        <f>T58*(1-D58)*p_death_advanced</f>
        <v>42.42169094805487</v>
      </c>
      <c r="AB58" s="67">
        <f>(R58+S58)*G58</f>
        <v>0.0</v>
      </c>
      <c r="AC58" s="67">
        <f>G58*(R58*(1-screen_specificity)+S58*screen_sensitivity)</f>
        <v>0.0</v>
      </c>
      <c r="AD58" s="68">
        <f>AB58*cost_screen_test+AC58*cost_followup_test</f>
        <v>0.0</v>
      </c>
      <c r="AE58" s="68">
        <f>X58*cost_early_treatment</f>
        <v>285045.02053213917</v>
      </c>
      <c r="AF58" s="68">
        <f>T58*cost_advanced_year</f>
        <v>3791882.9897702676</v>
      </c>
      <c r="AG58" s="68">
        <f>AD58+AE58+AF58</f>
        <v>4076928.0103024067</v>
      </c>
      <c r="AH58" s="67">
        <f>V58</f>
        <v>29163.195360155667</v>
      </c>
      <c r="AI58" s="67">
        <f>R58*u_healthy+S58*u_early+T58*u_advanced</f>
        <v>26169.901669937106</v>
      </c>
      <c r="AJ58" s="69">
        <f>1/(1+disc_costs)^A58</f>
        <v>0.2349502921834461</v>
      </c>
      <c r="AK58" s="69">
        <f>1/(1+disc_effects)^A58</f>
        <v>0.2349502921834461</v>
      </c>
      <c r="AL58" s="68">
        <f>AG58*AJ58</f>
        <v>957875.427231426</v>
      </c>
      <c r="AM58" s="67">
        <f>AI58*AK58</f>
        <v>6148.626043763777</v>
      </c>
      <c r="AN58" s="67">
        <f>AH58*AK58</f>
        <v>6851.901270871494</v>
      </c>
      <c r="AO58" s="64" t="str">
        <f>IF(AND(ABS(V58+U58-cohort_size)&lt;0.000001*cohort_size,MIN(I58:Q58)&gt;=0,MAX(I58:Q58)&lt;=1),"OK","CHECK")</f>
        <v>OK</v>
      </c>
    </row>
    <row r="59">
      <c r="A59" s="63">
        <f>A58+1</f>
        <v>50.0</v>
      </c>
      <c r="B59" s="63">
        <f>start_age+A59</f>
        <v>90.0</v>
      </c>
      <c r="C59" s="64" t="str">
        <f>INDEX(age_band_label,MATCH(B59,age_band_start,1))</f>
        <v>90-94</v>
      </c>
      <c r="D59" s="65">
        <f>INDEX(p_background_death,MATCH(B59,age_band_start,1))</f>
        <v>0.18</v>
      </c>
      <c r="E59" s="65">
        <f>INDEX(p_cancer_onset,MATCH(B59,age_band_start,1))</f>
        <v>0.0024</v>
      </c>
      <c r="F59" s="63">
        <f>IF(AND($B$3="Yes",B59&gt;=$E$3,B59&lt;=$H$3),1,0)</f>
        <v>0.0</v>
      </c>
      <c r="G59" s="66">
        <f>F59*screen_participation</f>
        <v>0.0</v>
      </c>
      <c r="H59" s="65">
        <f>1-(1-p_detect_symptoms)*(1-G59*screen_sensitivity)</f>
        <v>0.09999999999999998</v>
      </c>
      <c r="I59" s="65">
        <f>1-J59-K59</f>
        <v>0.8180320000000001</v>
      </c>
      <c r="J59" s="65">
        <f>(1-D59)*E59</f>
        <v>0.001968</v>
      </c>
      <c r="K59" s="65">
        <f>D59</f>
        <v>0.18</v>
      </c>
      <c r="L59" s="65">
        <f>(1-D59)*H59*p_cure_early</f>
        <v>0.07379999999999999</v>
      </c>
      <c r="M59" s="65">
        <f>(1-D59)*(1-H59)*(1-p_progression)</f>
        <v>0.5535000000000001</v>
      </c>
      <c r="N59" s="65">
        <f>(1-D59)*(H59*(1-p_cure_early)+(1-H59)*p_progression)</f>
        <v>0.1927</v>
      </c>
      <c r="O59" s="65">
        <f>D59</f>
        <v>0.18</v>
      </c>
      <c r="P59" s="65">
        <f>1-Q59</f>
        <v>0.615</v>
      </c>
      <c r="Q59" s="65">
        <f>1-(1-D59)*(1-p_death_advanced)</f>
        <v>0.385</v>
      </c>
      <c r="R59" s="67">
        <f>R58*I58+S58*L58</f>
        <v>25696.66654772328</v>
      </c>
      <c r="S59" s="67">
        <f>R58*J58+S58*M58</f>
        <v>190.04948260712428</v>
      </c>
      <c r="T59" s="67">
        <f>S58*N58+T58*P58</f>
        <v>171.92212606086642</v>
      </c>
      <c r="U59" s="67">
        <f>U58+R58*K58+S58*O58+T58*Q58</f>
        <v>73941.36184360867</v>
      </c>
      <c r="V59" s="67">
        <f>R59+S59+T59</f>
        <v>26058.638156391266</v>
      </c>
      <c r="W59" s="67">
        <f>R59*J59</f>
        <v>50.571039765919416</v>
      </c>
      <c r="X59" s="67">
        <f>S59*(1-D59)*H59</f>
        <v>15.58405757378419</v>
      </c>
      <c r="Y59" s="67">
        <f>S59*(1-D59)*(1-H59)*p_progression</f>
        <v>35.06412954101444</v>
      </c>
      <c r="Z59" s="67">
        <f>X59+Y59</f>
        <v>50.64818711479863</v>
      </c>
      <c r="AA59" s="67">
        <f>T59*(1-D59)*p_death_advanced</f>
        <v>35.244035842477615</v>
      </c>
      <c r="AB59" s="67">
        <f>(R59+S59)*G59</f>
        <v>0.0</v>
      </c>
      <c r="AC59" s="67">
        <f>G59*(R59*(1-screen_specificity)+S59*screen_sensitivity)</f>
        <v>0.0</v>
      </c>
      <c r="AD59" s="68">
        <f>AB59*cost_screen_test+AC59*cost_followup_test</f>
        <v>0.0</v>
      </c>
      <c r="AE59" s="68">
        <f>X59*cost_early_treatment</f>
        <v>233760.86360676284</v>
      </c>
      <c r="AF59" s="68">
        <f>T59*cost_advanced_year</f>
        <v>3438442.5212173285</v>
      </c>
      <c r="AG59" s="68">
        <f>AD59+AE59+AF59</f>
        <v>3672203.3848240916</v>
      </c>
      <c r="AH59" s="67">
        <f>V59</f>
        <v>26058.638156391266</v>
      </c>
      <c r="AI59" s="67">
        <f>R59*u_healthy+S59*u_early+T59*u_advanced</f>
        <v>23383.09912250048</v>
      </c>
      <c r="AJ59" s="69">
        <f>1/(1+disc_costs)^A59</f>
        <v>0.22810707978975348</v>
      </c>
      <c r="AK59" s="69">
        <f>1/(1+disc_effects)^A59</f>
        <v>0.22810707978975348</v>
      </c>
      <c r="AL59" s="68">
        <f>AG59*AJ59</f>
        <v>837655.5905062718</v>
      </c>
      <c r="AM59" s="67">
        <f>AI59*AK59</f>
        <v>5333.850457267931</v>
      </c>
      <c r="AN59" s="67">
        <f>AH59*AK59</f>
        <v>5944.159853152257</v>
      </c>
      <c r="AO59" s="64" t="str">
        <f>IF(AND(ABS(V59+U59-cohort_size)&lt;0.000001*cohort_size,MIN(I59:Q59)&gt;=0,MAX(I59:Q59)&lt;=1),"OK","CHECK")</f>
        <v>OK</v>
      </c>
    </row>
    <row r="60">
      <c r="A60" s="63">
        <f>A59+1</f>
        <v>51.0</v>
      </c>
      <c r="B60" s="63">
        <f>start_age+A60</f>
        <v>91.0</v>
      </c>
      <c r="C60" s="64" t="str">
        <f>INDEX(age_band_label,MATCH(B60,age_band_start,1))</f>
        <v>90-94</v>
      </c>
      <c r="D60" s="65">
        <f>INDEX(p_background_death,MATCH(B60,age_band_start,1))</f>
        <v>0.18</v>
      </c>
      <c r="E60" s="65">
        <f>INDEX(p_cancer_onset,MATCH(B60,age_band_start,1))</f>
        <v>0.0024</v>
      </c>
      <c r="F60" s="63">
        <f>IF(AND($B$3="Yes",B60&gt;=$E$3,B60&lt;=$H$3),1,0)</f>
        <v>0.0</v>
      </c>
      <c r="G60" s="66">
        <f>F60*screen_participation</f>
        <v>0.0</v>
      </c>
      <c r="H60" s="65">
        <f>1-(1-p_detect_symptoms)*(1-G60*screen_sensitivity)</f>
        <v>0.09999999999999998</v>
      </c>
      <c r="I60" s="65">
        <f>1-J60-K60</f>
        <v>0.8180320000000001</v>
      </c>
      <c r="J60" s="65">
        <f>(1-D60)*E60</f>
        <v>0.001968</v>
      </c>
      <c r="K60" s="65">
        <f>D60</f>
        <v>0.18</v>
      </c>
      <c r="L60" s="65">
        <f>(1-D60)*H60*p_cure_early</f>
        <v>0.07379999999999999</v>
      </c>
      <c r="M60" s="65">
        <f>(1-D60)*(1-H60)*(1-p_progression)</f>
        <v>0.5535000000000001</v>
      </c>
      <c r="N60" s="65">
        <f>(1-D60)*(H60*(1-p_cure_early)+(1-H60)*p_progression)</f>
        <v>0.1927</v>
      </c>
      <c r="O60" s="65">
        <f>D60</f>
        <v>0.18</v>
      </c>
      <c r="P60" s="65">
        <f>1-Q60</f>
        <v>0.615</v>
      </c>
      <c r="Q60" s="65">
        <f>1-(1-D60)*(1-p_death_advanced)</f>
        <v>0.385</v>
      </c>
      <c r="R60" s="67">
        <f>R59*I59+S59*L59</f>
        <v>21034.721181183577</v>
      </c>
      <c r="S60" s="67">
        <f>R59*J59+S59*M59</f>
        <v>155.76342838896272</v>
      </c>
      <c r="T60" s="67">
        <f>S59*N59+T59*P59</f>
        <v>142.3546428258257</v>
      </c>
      <c r="U60" s="67">
        <f>U59+R59*K59+S59*O59+T59*Q59</f>
        <v>78667.16074760158</v>
      </c>
      <c r="V60" s="67">
        <f>R60+S60+T60</f>
        <v>21332.839252398368</v>
      </c>
      <c r="W60" s="67">
        <f>R60*J60</f>
        <v>41.396331284569285</v>
      </c>
      <c r="X60" s="67">
        <f>S60*(1-D60)*H60</f>
        <v>12.77260112789494</v>
      </c>
      <c r="Y60" s="67">
        <f>S60*(1-D60)*(1-H60)*p_progression</f>
        <v>28.738352537763625</v>
      </c>
      <c r="Z60" s="67">
        <f>X60+Y60</f>
        <v>41.51095366565856</v>
      </c>
      <c r="AA60" s="67">
        <f>T60*(1-D60)*p_death_advanced</f>
        <v>29.18270177929427</v>
      </c>
      <c r="AB60" s="67">
        <f>(R60+S60)*G60</f>
        <v>0.0</v>
      </c>
      <c r="AC60" s="67">
        <f>G60*(R60*(1-screen_specificity)+S60*screen_sensitivity)</f>
        <v>0.0</v>
      </c>
      <c r="AD60" s="68">
        <f>AB60*cost_screen_test+AC60*cost_followup_test</f>
        <v>0.0</v>
      </c>
      <c r="AE60" s="68">
        <f>X60*cost_early_treatment</f>
        <v>191589.0169184241</v>
      </c>
      <c r="AF60" s="68">
        <f>T60*cost_advanced_year</f>
        <v>2847092.856516514</v>
      </c>
      <c r="AG60" s="68">
        <f>AD60+AE60+AF60</f>
        <v>3038681.873434938</v>
      </c>
      <c r="AH60" s="67">
        <f>V60</f>
        <v>21332.839252398368</v>
      </c>
      <c r="AI60" s="67">
        <f>R60*u_healthy+S60*u_early+T60*u_advanced</f>
        <v>19141.943030750044</v>
      </c>
      <c r="AJ60" s="69">
        <f>1/(1+disc_costs)^A60</f>
        <v>0.22146318426189657</v>
      </c>
      <c r="AK60" s="69">
        <f>1/(1+disc_effects)^A60</f>
        <v>0.22146318426189657</v>
      </c>
      <c r="AL60" s="68">
        <f>AG60*AJ60</f>
        <v>672956.1636498068</v>
      </c>
      <c r="AM60" s="67">
        <f>AI60*AK60</f>
        <v>4239.235656549724</v>
      </c>
      <c r="AN60" s="67">
        <f>AH60*AK60</f>
        <v>4724.4385101833195</v>
      </c>
      <c r="AO60" s="64" t="str">
        <f>IF(AND(ABS(V60+U60-cohort_size)&lt;0.000001*cohort_size,MIN(I60:Q60)&gt;=0,MAX(I60:Q60)&lt;=1),"OK","CHECK")</f>
        <v>OK</v>
      </c>
    </row>
    <row r="61">
      <c r="A61" s="63">
        <f>A60+1</f>
        <v>52.0</v>
      </c>
      <c r="B61" s="63">
        <f>start_age+A61</f>
        <v>92.0</v>
      </c>
      <c r="C61" s="64" t="str">
        <f>INDEX(age_band_label,MATCH(B61,age_band_start,1))</f>
        <v>90-94</v>
      </c>
      <c r="D61" s="65">
        <f>INDEX(p_background_death,MATCH(B61,age_band_start,1))</f>
        <v>0.18</v>
      </c>
      <c r="E61" s="65">
        <f>INDEX(p_cancer_onset,MATCH(B61,age_band_start,1))</f>
        <v>0.0024</v>
      </c>
      <c r="F61" s="63">
        <f>IF(AND($B$3="Yes",B61&gt;=$E$3,B61&lt;=$H$3),1,0)</f>
        <v>0.0</v>
      </c>
      <c r="G61" s="66">
        <f>F61*screen_participation</f>
        <v>0.0</v>
      </c>
      <c r="H61" s="65">
        <f>1-(1-p_detect_symptoms)*(1-G61*screen_sensitivity)</f>
        <v>0.09999999999999998</v>
      </c>
      <c r="I61" s="65">
        <f>1-J61-K61</f>
        <v>0.8180320000000001</v>
      </c>
      <c r="J61" s="65">
        <f>(1-D61)*E61</f>
        <v>0.001968</v>
      </c>
      <c r="K61" s="65">
        <f>D61</f>
        <v>0.18</v>
      </c>
      <c r="L61" s="65">
        <f>(1-D61)*H61*p_cure_early</f>
        <v>0.07379999999999999</v>
      </c>
      <c r="M61" s="65">
        <f>(1-D61)*(1-H61)*(1-p_progression)</f>
        <v>0.5535000000000001</v>
      </c>
      <c r="N61" s="65">
        <f>(1-D61)*(H61*(1-p_cure_early)+(1-H61)*p_progression)</f>
        <v>0.1927</v>
      </c>
      <c r="O61" s="65">
        <f>D61</f>
        <v>0.18</v>
      </c>
      <c r="P61" s="65">
        <f>1-Q61</f>
        <v>0.615</v>
      </c>
      <c r="Q61" s="65">
        <f>1-(1-D61)*(1-p_death_advanced)</f>
        <v>0.385</v>
      </c>
      <c r="R61" s="67">
        <f>R60*I60+S60*L60</f>
        <v>17218.570378301072</v>
      </c>
      <c r="S61" s="67">
        <f>R60*J60+S60*M60</f>
        <v>127.61138889786017</v>
      </c>
      <c r="T61" s="67">
        <f>S60*N60+T60*P60</f>
        <v>117.56371798843593</v>
      </c>
      <c r="U61" s="67">
        <f>U60+R60*K60+S60*O60+T60*Q60</f>
        <v>82536.25451481256</v>
      </c>
      <c r="V61" s="67">
        <f>R61+S61+T61</f>
        <v>17463.74548518737</v>
      </c>
      <c r="W61" s="67">
        <f>R61*J61</f>
        <v>33.886146504496516</v>
      </c>
      <c r="X61" s="67">
        <f>S61*(1-D61)*H61</f>
        <v>10.464133889624533</v>
      </c>
      <c r="Y61" s="67">
        <f>S61*(1-D61)*(1-H61)*p_progression</f>
        <v>23.544301251655202</v>
      </c>
      <c r="Z61" s="67">
        <f>X61+Y61</f>
        <v>34.00843514127973</v>
      </c>
      <c r="AA61" s="67">
        <f>T61*(1-D61)*p_death_advanced</f>
        <v>24.100562187629368</v>
      </c>
      <c r="AB61" s="67">
        <f>(R61+S61)*G61</f>
        <v>0.0</v>
      </c>
      <c r="AC61" s="67">
        <f>G61*(R61*(1-screen_specificity)+S61*screen_sensitivity)</f>
        <v>0.0</v>
      </c>
      <c r="AD61" s="68">
        <f>AB61*cost_screen_test+AC61*cost_followup_test</f>
        <v>0.0</v>
      </c>
      <c r="AE61" s="68">
        <f>X61*cost_early_treatment</f>
        <v>156962.008344368</v>
      </c>
      <c r="AF61" s="68">
        <f>T61*cost_advanced_year</f>
        <v>2351274.3597687185</v>
      </c>
      <c r="AG61" s="68">
        <f>AD61+AE61+AF61</f>
        <v>2508236.3681130866</v>
      </c>
      <c r="AH61" s="67">
        <f>V61</f>
        <v>17463.74548518737</v>
      </c>
      <c r="AI61" s="67">
        <f>R61*u_healthy+S61*u_early+T61*u_advanced</f>
        <v>15669.843065927787</v>
      </c>
      <c r="AJ61" s="69">
        <f>1/(1+disc_costs)^A61</f>
        <v>0.21501280025426853</v>
      </c>
      <c r="AK61" s="69">
        <f>1/(1+disc_effects)^A61</f>
        <v>0.21501280025426853</v>
      </c>
      <c r="AL61" s="68">
        <f>AG61*AJ61</f>
        <v>539302.925207591</v>
      </c>
      <c r="AM61" s="67">
        <f>AI61*AK61</f>
        <v>3369.216837150066</v>
      </c>
      <c r="AN61" s="67">
        <f>AH61*AK61</f>
        <v>3754.928819697976</v>
      </c>
      <c r="AO61" s="64" t="str">
        <f>IF(AND(ABS(V61+U61-cohort_size)&lt;0.000001*cohort_size,MIN(I61:Q61)&gt;=0,MAX(I61:Q61)&lt;=1),"OK","CHECK")</f>
        <v>OK</v>
      </c>
    </row>
    <row r="62">
      <c r="A62" s="63">
        <f>A61+1</f>
        <v>53.0</v>
      </c>
      <c r="B62" s="63">
        <f>start_age+A62</f>
        <v>93.0</v>
      </c>
      <c r="C62" s="64" t="str">
        <f>INDEX(age_band_label,MATCH(B62,age_band_start,1))</f>
        <v>90-94</v>
      </c>
      <c r="D62" s="65">
        <f>INDEX(p_background_death,MATCH(B62,age_band_start,1))</f>
        <v>0.18</v>
      </c>
      <c r="E62" s="65">
        <f>INDEX(p_cancer_onset,MATCH(B62,age_band_start,1))</f>
        <v>0.0024</v>
      </c>
      <c r="F62" s="63">
        <f>IF(AND($B$3="Yes",B62&gt;=$E$3,B62&lt;=$H$3),1,0)</f>
        <v>0.0</v>
      </c>
      <c r="G62" s="66">
        <f>F62*screen_participation</f>
        <v>0.0</v>
      </c>
      <c r="H62" s="65">
        <f>1-(1-p_detect_symptoms)*(1-G62*screen_sensitivity)</f>
        <v>0.09999999999999998</v>
      </c>
      <c r="I62" s="65">
        <f>1-J62-K62</f>
        <v>0.8180320000000001</v>
      </c>
      <c r="J62" s="65">
        <f>(1-D62)*E62</f>
        <v>0.001968</v>
      </c>
      <c r="K62" s="65">
        <f>D62</f>
        <v>0.18</v>
      </c>
      <c r="L62" s="65">
        <f>(1-D62)*H62*p_cure_early</f>
        <v>0.07379999999999999</v>
      </c>
      <c r="M62" s="65">
        <f>(1-D62)*(1-H62)*(1-p_progression)</f>
        <v>0.5535000000000001</v>
      </c>
      <c r="N62" s="65">
        <f>(1-D62)*(H62*(1-p_cure_early)+(1-H62)*p_progression)</f>
        <v>0.1927</v>
      </c>
      <c r="O62" s="65">
        <f>D62</f>
        <v>0.18</v>
      </c>
      <c r="P62" s="65">
        <f>1-Q62</f>
        <v>0.615</v>
      </c>
      <c r="Q62" s="65">
        <f>1-(1-D62)*(1-p_death_advanced)</f>
        <v>0.385</v>
      </c>
      <c r="R62" s="67">
        <f>R61*I61+S61*L61</f>
        <v>14094.759284203046</v>
      </c>
      <c r="S62" s="67">
        <f>R61*J61+S61*M61</f>
        <v>104.51905025946212</v>
      </c>
      <c r="T62" s="67">
        <f>S61*N61+T61*P61</f>
        <v>96.89240120350576</v>
      </c>
      <c r="U62" s="67">
        <f>U61+R61*K61+S61*O61+T61*Q61</f>
        <v>85703.82926433392</v>
      </c>
      <c r="V62" s="67">
        <f>R62+S62+T62</f>
        <v>14296.170735666014</v>
      </c>
      <c r="W62" s="67">
        <f>R62*J62</f>
        <v>27.738486271311597</v>
      </c>
      <c r="X62" s="67">
        <f>S62*(1-D62)*H62</f>
        <v>8.570562121275893</v>
      </c>
      <c r="Y62" s="67">
        <f>S62*(1-D62)*(1-H62)*p_progression</f>
        <v>19.28376477287076</v>
      </c>
      <c r="Z62" s="67">
        <f>X62+Y62</f>
        <v>27.854326894146652</v>
      </c>
      <c r="AA62" s="67">
        <f>T62*(1-D62)*p_death_advanced</f>
        <v>19.86294224671868</v>
      </c>
      <c r="AB62" s="67">
        <f>(R62+S62)*G62</f>
        <v>0.0</v>
      </c>
      <c r="AC62" s="67">
        <f>G62*(R62*(1-screen_specificity)+S62*screen_sensitivity)</f>
        <v>0.0</v>
      </c>
      <c r="AD62" s="68">
        <f>AB62*cost_screen_test+AC62*cost_followup_test</f>
        <v>0.0</v>
      </c>
      <c r="AE62" s="68">
        <f>X62*cost_early_treatment</f>
        <v>128558.4318191384</v>
      </c>
      <c r="AF62" s="68">
        <f>T62*cost_advanced_year</f>
        <v>1937848.024070115</v>
      </c>
      <c r="AG62" s="68">
        <f>AD62+AE62+AF62</f>
        <v>2066406.4558892534</v>
      </c>
      <c r="AH62" s="67">
        <f>V62</f>
        <v>14296.170735666014</v>
      </c>
      <c r="AI62" s="67">
        <f>R62*u_healthy+S62*u_early+T62*u_advanced</f>
        <v>12827.415369165214</v>
      </c>
      <c r="AJ62" s="69">
        <f>1/(1+disc_costs)^A62</f>
        <v>0.20875029150899857</v>
      </c>
      <c r="AK62" s="69">
        <f>1/(1+disc_effects)^A62</f>
        <v>0.20875029150899857</v>
      </c>
      <c r="AL62" s="68">
        <f>AG62*AJ62</f>
        <v>431362.95004295825</v>
      </c>
      <c r="AM62" s="67">
        <f>AI62*AK62</f>
        <v>2677.726697620247</v>
      </c>
      <c r="AN62" s="67">
        <f>AH62*AK62</f>
        <v>2984.329808532695</v>
      </c>
      <c r="AO62" s="64" t="str">
        <f>IF(AND(ABS(V62+U62-cohort_size)&lt;0.000001*cohort_size,MIN(I62:Q62)&gt;=0,MAX(I62:Q62)&lt;=1),"OK","CHECK")</f>
        <v>OK</v>
      </c>
    </row>
    <row r="63">
      <c r="A63" s="63">
        <f>A62+1</f>
        <v>54.0</v>
      </c>
      <c r="B63" s="63">
        <f>start_age+A63</f>
        <v>94.0</v>
      </c>
      <c r="C63" s="64" t="str">
        <f>INDEX(age_band_label,MATCH(B63,age_band_start,1))</f>
        <v>90-94</v>
      </c>
      <c r="D63" s="65">
        <f>INDEX(p_background_death,MATCH(B63,age_band_start,1))</f>
        <v>0.18</v>
      </c>
      <c r="E63" s="65">
        <f>INDEX(p_cancer_onset,MATCH(B63,age_band_start,1))</f>
        <v>0.0024</v>
      </c>
      <c r="F63" s="63">
        <f>IF(AND($B$3="Yes",B63&gt;=$E$3,B63&lt;=$H$3),1,0)</f>
        <v>0.0</v>
      </c>
      <c r="G63" s="66">
        <f>F63*screen_participation</f>
        <v>0.0</v>
      </c>
      <c r="H63" s="65">
        <f>1-(1-p_detect_symptoms)*(1-G63*screen_sensitivity)</f>
        <v>0.09999999999999998</v>
      </c>
      <c r="I63" s="65">
        <f>1-J63-K63</f>
        <v>0.8180320000000001</v>
      </c>
      <c r="J63" s="65">
        <f>(1-D63)*E63</f>
        <v>0.001968</v>
      </c>
      <c r="K63" s="65">
        <f>D63</f>
        <v>0.18</v>
      </c>
      <c r="L63" s="65">
        <f>(1-D63)*H63*p_cure_early</f>
        <v>0.07379999999999999</v>
      </c>
      <c r="M63" s="65">
        <f>(1-D63)*(1-H63)*(1-p_progression)</f>
        <v>0.5535000000000001</v>
      </c>
      <c r="N63" s="65">
        <f>(1-D63)*(H63*(1-p_cure_early)+(1-H63)*p_progression)</f>
        <v>0.1927</v>
      </c>
      <c r="O63" s="65">
        <f>D63</f>
        <v>0.18</v>
      </c>
      <c r="P63" s="65">
        <f>1-Q63</f>
        <v>0.615</v>
      </c>
      <c r="Q63" s="65">
        <f>1-(1-D63)*(1-p_death_advanced)</f>
        <v>0.385</v>
      </c>
      <c r="R63" s="67">
        <f>R62*I62+S62*L62</f>
        <v>11537.677632684336</v>
      </c>
      <c r="S63" s="67">
        <f>R62*J62+S62*M62</f>
        <v>85.58978058992389</v>
      </c>
      <c r="T63" s="67">
        <f>S62*N62+T62*P62</f>
        <v>79.7296477251544</v>
      </c>
      <c r="U63" s="67">
        <f>U62+R62*K62+S62*O62+T62*Q62</f>
        <v>88297.00293900052</v>
      </c>
      <c r="V63" s="67">
        <f>R63+S63+T63</f>
        <v>11702.997060999414</v>
      </c>
      <c r="W63" s="67">
        <f>R63*J63</f>
        <v>22.706149581122773</v>
      </c>
      <c r="X63" s="67">
        <f>S63*(1-D63)*H63</f>
        <v>7.0183620083737575</v>
      </c>
      <c r="Y63" s="67">
        <f>S63*(1-D63)*(1-H63)*p_progression</f>
        <v>15.79131451884096</v>
      </c>
      <c r="Z63" s="67">
        <f>X63+Y63</f>
        <v>22.809676527214716</v>
      </c>
      <c r="AA63" s="67">
        <f>T63*(1-D63)*p_death_advanced</f>
        <v>16.344577783656653</v>
      </c>
      <c r="AB63" s="67">
        <f>(R63+S63)*G63</f>
        <v>0.0</v>
      </c>
      <c r="AC63" s="67">
        <f>G63*(R63*(1-screen_specificity)+S63*screen_sensitivity)</f>
        <v>0.0</v>
      </c>
      <c r="AD63" s="68">
        <f>AB63*cost_screen_test+AC63*cost_followup_test</f>
        <v>0.0</v>
      </c>
      <c r="AE63" s="68">
        <f>X63*cost_early_treatment</f>
        <v>105275.43012560636</v>
      </c>
      <c r="AF63" s="68">
        <f>T63*cost_advanced_year</f>
        <v>1594592.9545030878</v>
      </c>
      <c r="AG63" s="68">
        <f>AD63+AE63+AF63</f>
        <v>1699868.384628694</v>
      </c>
      <c r="AH63" s="67">
        <f>V63</f>
        <v>11702.997060999414</v>
      </c>
      <c r="AI63" s="67">
        <f>R63*u_healthy+S63*u_early+T63*u_advanced</f>
        <v>10500.512489166173</v>
      </c>
      <c r="AJ63" s="69">
        <f>1/(1+disc_costs)^A63</f>
        <v>0.20267018593106656</v>
      </c>
      <c r="AK63" s="69">
        <f>1/(1+disc_effects)^A63</f>
        <v>0.20267018593106656</v>
      </c>
      <c r="AL63" s="68">
        <f>AG63*AJ63</f>
        <v>344512.64157103916</v>
      </c>
      <c r="AM63" s="67">
        <f>AI63*AK63</f>
        <v>2128.140818550795</v>
      </c>
      <c r="AN63" s="67">
        <f>AH63*AK63</f>
        <v>2371.8485903034766</v>
      </c>
      <c r="AO63" s="64" t="str">
        <f>IF(AND(ABS(V63+U63-cohort_size)&lt;0.000001*cohort_size,MIN(I63:Q63)&gt;=0,MAX(I63:Q63)&lt;=1),"OK","CHECK")</f>
        <v>OK</v>
      </c>
    </row>
    <row r="64">
      <c r="A64" s="63">
        <f>A63+1</f>
        <v>55.0</v>
      </c>
      <c r="B64" s="63">
        <f>start_age+A64</f>
        <v>95.0</v>
      </c>
      <c r="C64" s="64" t="str">
        <f>INDEX(age_band_label,MATCH(B64,age_band_start,1))</f>
        <v>95-99</v>
      </c>
      <c r="D64" s="65">
        <f>INDEX(p_background_death,MATCH(B64,age_band_start,1))</f>
        <v>0.29</v>
      </c>
      <c r="E64" s="65">
        <f>INDEX(p_cancer_onset,MATCH(B64,age_band_start,1))</f>
        <v>0.0024</v>
      </c>
      <c r="F64" s="63">
        <f>IF(AND($B$3="Yes",B64&gt;=$E$3,B64&lt;=$H$3),1,0)</f>
        <v>0.0</v>
      </c>
      <c r="G64" s="66">
        <f>F64*screen_participation</f>
        <v>0.0</v>
      </c>
      <c r="H64" s="65">
        <f>1-(1-p_detect_symptoms)*(1-G64*screen_sensitivity)</f>
        <v>0.09999999999999998</v>
      </c>
      <c r="I64" s="65">
        <f>1-J64-K64</f>
        <v>0.708296</v>
      </c>
      <c r="J64" s="65">
        <f>(1-D64)*E64</f>
        <v>0.0017039999999999998</v>
      </c>
      <c r="K64" s="65">
        <f>D64</f>
        <v>0.29</v>
      </c>
      <c r="L64" s="65">
        <f>(1-D64)*H64*p_cure_early</f>
        <v>0.06389999999999998</v>
      </c>
      <c r="M64" s="65">
        <f>(1-D64)*(1-H64)*(1-p_progression)</f>
        <v>0.47925</v>
      </c>
      <c r="N64" s="65">
        <f>(1-D64)*(H64*(1-p_cure_early)+(1-H64)*p_progression)</f>
        <v>0.16684999999999997</v>
      </c>
      <c r="O64" s="65">
        <f>D64</f>
        <v>0.29</v>
      </c>
      <c r="P64" s="65">
        <f>1-Q64</f>
        <v>0.5325</v>
      </c>
      <c r="Q64" s="65">
        <f>1-(1-D64)*(1-p_death_advanced)</f>
        <v>0.4675</v>
      </c>
      <c r="R64" s="67">
        <f>R63*I63+S63*L63</f>
        <v>9444.50603502757</v>
      </c>
      <c r="S64" s="67">
        <f>R63*J63+S63*M63</f>
        <v>70.08009313764566</v>
      </c>
      <c r="T64" s="67">
        <f>S63*N63+T63*P63</f>
        <v>65.5268840706483</v>
      </c>
      <c r="U64" s="67">
        <f>U63+R63*K63+S63*O63+T63*Q63</f>
        <v>90419.88698776407</v>
      </c>
      <c r="V64" s="67">
        <f>R64+S64+T64</f>
        <v>9580.113012235865</v>
      </c>
      <c r="W64" s="67">
        <f>R64*J64</f>
        <v>16.09343828368698</v>
      </c>
      <c r="X64" s="67">
        <f>S64*(1-D64)*H64</f>
        <v>4.97568661277284</v>
      </c>
      <c r="Y64" s="67">
        <f>S64*(1-D64)*(1-H64)*p_progression</f>
        <v>11.195294878738894</v>
      </c>
      <c r="Z64" s="67">
        <f>X64+Y64</f>
        <v>16.170981491511732</v>
      </c>
      <c r="AA64" s="67">
        <f>T64*(1-D64)*p_death_advanced</f>
        <v>11.631021922540072</v>
      </c>
      <c r="AB64" s="67">
        <f>(R64+S64)*G64</f>
        <v>0.0</v>
      </c>
      <c r="AC64" s="67">
        <f>G64*(R64*(1-screen_specificity)+S64*screen_sensitivity)</f>
        <v>0.0</v>
      </c>
      <c r="AD64" s="68">
        <f>AB64*cost_screen_test+AC64*cost_followup_test</f>
        <v>0.0</v>
      </c>
      <c r="AE64" s="68">
        <f>X64*cost_early_treatment</f>
        <v>74635.2991915926</v>
      </c>
      <c r="AF64" s="68">
        <f>T64*cost_advanced_year</f>
        <v>1310537.6814129658</v>
      </c>
      <c r="AG64" s="68">
        <f>AD64+AE64+AF64</f>
        <v>1385172.9806045583</v>
      </c>
      <c r="AH64" s="67">
        <f>V64</f>
        <v>9580.113012235865</v>
      </c>
      <c r="AI64" s="67">
        <f>R64*u_healthy+S64*u_early+T64*u_advanced</f>
        <v>8595.663296930668</v>
      </c>
      <c r="AJ64" s="69">
        <f>1/(1+disc_costs)^A64</f>
        <v>0.19676717080686074</v>
      </c>
      <c r="AK64" s="69">
        <f>1/(1+disc_effects)^A64</f>
        <v>0.19676717080686074</v>
      </c>
      <c r="AL64" s="68">
        <f>AG64*AJ64</f>
        <v>272556.5684716655</v>
      </c>
      <c r="AM64" s="67">
        <f>AI64*AK64</f>
        <v>1691.3443481454206</v>
      </c>
      <c r="AN64" s="67">
        <f>AH64*AK64</f>
        <v>1885.0517334276435</v>
      </c>
      <c r="AO64" s="64" t="str">
        <f>IF(AND(ABS(V64+U64-cohort_size)&lt;0.000001*cohort_size,MIN(I64:Q64)&gt;=0,MAX(I64:Q64)&lt;=1),"OK","CHECK")</f>
        <v>OK</v>
      </c>
    </row>
    <row r="65">
      <c r="A65" s="63">
        <f>A64+1</f>
        <v>56.0</v>
      </c>
      <c r="B65" s="63">
        <f>start_age+A65</f>
        <v>96.0</v>
      </c>
      <c r="C65" s="64" t="str">
        <f>INDEX(age_band_label,MATCH(B65,age_band_start,1))</f>
        <v>95-99</v>
      </c>
      <c r="D65" s="65">
        <f>INDEX(p_background_death,MATCH(B65,age_band_start,1))</f>
        <v>0.29</v>
      </c>
      <c r="E65" s="65">
        <f>INDEX(p_cancer_onset,MATCH(B65,age_band_start,1))</f>
        <v>0.0024</v>
      </c>
      <c r="F65" s="63">
        <f>IF(AND($B$3="Yes",B65&gt;=$E$3,B65&lt;=$H$3),1,0)</f>
        <v>0.0</v>
      </c>
      <c r="G65" s="66">
        <f>F65*screen_participation</f>
        <v>0.0</v>
      </c>
      <c r="H65" s="65">
        <f>1-(1-p_detect_symptoms)*(1-G65*screen_sensitivity)</f>
        <v>0.09999999999999998</v>
      </c>
      <c r="I65" s="65">
        <f>1-J65-K65</f>
        <v>0.708296</v>
      </c>
      <c r="J65" s="65">
        <f>(1-D65)*E65</f>
        <v>0.0017039999999999998</v>
      </c>
      <c r="K65" s="65">
        <f>D65</f>
        <v>0.29</v>
      </c>
      <c r="L65" s="65">
        <f>(1-D65)*H65*p_cure_early</f>
        <v>0.06389999999999998</v>
      </c>
      <c r="M65" s="65">
        <f>(1-D65)*(1-H65)*(1-p_progression)</f>
        <v>0.47925</v>
      </c>
      <c r="N65" s="65">
        <f>(1-D65)*(H65*(1-p_cure_early)+(1-H65)*p_progression)</f>
        <v>0.16684999999999997</v>
      </c>
      <c r="O65" s="65">
        <f>D65</f>
        <v>0.29</v>
      </c>
      <c r="P65" s="65">
        <f>1-Q65</f>
        <v>0.5325</v>
      </c>
      <c r="Q65" s="65">
        <f>1-(1-D65)*(1-p_death_advanced)</f>
        <v>0.4675</v>
      </c>
      <c r="R65" s="67">
        <f>R64*I64+S64*L64</f>
        <v>6693.983964537384</v>
      </c>
      <c r="S65" s="67">
        <f>R64*J64+S64*M64</f>
        <v>49.67932291990366</v>
      </c>
      <c r="T65" s="67">
        <f>S64*N64+T64*P64</f>
        <v>46.58592930763639</v>
      </c>
      <c r="U65" s="67">
        <f>U64+R64*K64+S64*O64+T64*Q64</f>
        <v>93209.75078323501</v>
      </c>
      <c r="V65" s="67">
        <f>R65+S65+T65</f>
        <v>6790.249216764924</v>
      </c>
      <c r="W65" s="67">
        <f>R65*J65</f>
        <v>11.4065486755717</v>
      </c>
      <c r="X65" s="67">
        <f>S65*(1-D65)*H65</f>
        <v>3.527231927313159</v>
      </c>
      <c r="Y65" s="67">
        <f>S65*(1-D65)*(1-H65)*p_progression</f>
        <v>7.93627183645461</v>
      </c>
      <c r="Z65" s="67">
        <f>X65+Y65</f>
        <v>11.463503763767768</v>
      </c>
      <c r="AA65" s="67">
        <f>T65*(1-D65)*p_death_advanced</f>
        <v>8.26900245210546</v>
      </c>
      <c r="AB65" s="67">
        <f>(R65+S65)*G65</f>
        <v>0.0</v>
      </c>
      <c r="AC65" s="67">
        <f>G65*(R65*(1-screen_specificity)+S65*screen_sensitivity)</f>
        <v>0.0</v>
      </c>
      <c r="AD65" s="68">
        <f>AB65*cost_screen_test+AC65*cost_followup_test</f>
        <v>0.0</v>
      </c>
      <c r="AE65" s="68">
        <f>X65*cost_early_treatment</f>
        <v>52908.47890969739</v>
      </c>
      <c r="AF65" s="68">
        <f>T65*cost_advanced_year</f>
        <v>931718.5861527278</v>
      </c>
      <c r="AG65" s="68">
        <f>AD65+AE65+AF65</f>
        <v>984627.0650624252</v>
      </c>
      <c r="AH65" s="67">
        <f>V65</f>
        <v>6790.249216764924</v>
      </c>
      <c r="AI65" s="67">
        <f>R65*u_healthy+S65*u_early+T65*u_advanced</f>
        <v>6092.435253684764</v>
      </c>
      <c r="AJ65" s="69">
        <f>1/(1+disc_costs)^A65</f>
        <v>0.19103608816200068</v>
      </c>
      <c r="AK65" s="69">
        <f>1/(1+disc_effects)^A65</f>
        <v>0.19103608816200068</v>
      </c>
      <c r="AL65" s="68">
        <f>AG65*AJ65</f>
        <v>188099.30280795746</v>
      </c>
      <c r="AM65" s="67">
        <f>AI65*AK65</f>
        <v>1163.8749982442034</v>
      </c>
      <c r="AN65" s="67">
        <f>AH65*AK65</f>
        <v>1297.1826480158602</v>
      </c>
      <c r="AO65" s="64" t="str">
        <f>IF(AND(ABS(V65+U65-cohort_size)&lt;0.000001*cohort_size,MIN(I65:Q65)&gt;=0,MAX(I65:Q65)&lt;=1),"OK","CHECK")</f>
        <v>OK</v>
      </c>
    </row>
    <row r="66">
      <c r="A66" s="63">
        <f>A65+1</f>
        <v>57.0</v>
      </c>
      <c r="B66" s="63">
        <f>start_age+A66</f>
        <v>97.0</v>
      </c>
      <c r="C66" s="64" t="str">
        <f>INDEX(age_band_label,MATCH(B66,age_band_start,1))</f>
        <v>95-99</v>
      </c>
      <c r="D66" s="65">
        <f>INDEX(p_background_death,MATCH(B66,age_band_start,1))</f>
        <v>0.29</v>
      </c>
      <c r="E66" s="65">
        <f>INDEX(p_cancer_onset,MATCH(B66,age_band_start,1))</f>
        <v>0.0024</v>
      </c>
      <c r="F66" s="63">
        <f>IF(AND($B$3="Yes",B66&gt;=$E$3,B66&lt;=$H$3),1,0)</f>
        <v>0.0</v>
      </c>
      <c r="G66" s="66">
        <f>F66*screen_participation</f>
        <v>0.0</v>
      </c>
      <c r="H66" s="65">
        <f>1-(1-p_detect_symptoms)*(1-G66*screen_sensitivity)</f>
        <v>0.09999999999999998</v>
      </c>
      <c r="I66" s="65">
        <f>1-J66-K66</f>
        <v>0.708296</v>
      </c>
      <c r="J66" s="65">
        <f>(1-D66)*E66</f>
        <v>0.0017039999999999998</v>
      </c>
      <c r="K66" s="65">
        <f>D66</f>
        <v>0.29</v>
      </c>
      <c r="L66" s="65">
        <f>(1-D66)*H66*p_cure_early</f>
        <v>0.06389999999999998</v>
      </c>
      <c r="M66" s="65">
        <f>(1-D66)*(1-H66)*(1-p_progression)</f>
        <v>0.47925</v>
      </c>
      <c r="N66" s="65">
        <f>(1-D66)*(H66*(1-p_cure_early)+(1-H66)*p_progression)</f>
        <v>0.16684999999999997</v>
      </c>
      <c r="O66" s="65">
        <f>D66</f>
        <v>0.29</v>
      </c>
      <c r="P66" s="65">
        <f>1-Q66</f>
        <v>0.5325</v>
      </c>
      <c r="Q66" s="65">
        <f>1-(1-D66)*(1-p_death_advanced)</f>
        <v>0.4675</v>
      </c>
      <c r="R66" s="67">
        <f>R65*I65+S65*L65</f>
        <v>4744.4965748805525</v>
      </c>
      <c r="S66" s="67">
        <f>R65*J65+S65*M65</f>
        <v>35.21536418493553</v>
      </c>
      <c r="T66" s="67">
        <f>S65*N65+T65*P65</f>
        <v>33.0960023855023</v>
      </c>
      <c r="U66" s="67">
        <f>U65+R65*K65+S65*O65+T65*Q65</f>
        <v>95187.19205854894</v>
      </c>
      <c r="V66" s="67">
        <f>R66+S66+T66</f>
        <v>4812.80794145099</v>
      </c>
      <c r="W66" s="67">
        <f>R66*J66</f>
        <v>8.08462216359646</v>
      </c>
      <c r="X66" s="67">
        <f>S66*(1-D66)*H66</f>
        <v>2.500290857130422</v>
      </c>
      <c r="Y66" s="67">
        <f>S66*(1-D66)*(1-H66)*p_progression</f>
        <v>5.62565442854345</v>
      </c>
      <c r="Z66" s="67">
        <f>X66+Y66</f>
        <v>8.125945285673872</v>
      </c>
      <c r="AA66" s="67">
        <f>T66*(1-D66)*p_death_advanced</f>
        <v>5.874540423426659</v>
      </c>
      <c r="AB66" s="67">
        <f>(R66+S66)*G66</f>
        <v>0.0</v>
      </c>
      <c r="AC66" s="67">
        <f>G66*(R66*(1-screen_specificity)+S66*screen_sensitivity)</f>
        <v>0.0</v>
      </c>
      <c r="AD66" s="68">
        <f>AB66*cost_screen_test+AC66*cost_followup_test</f>
        <v>0.0</v>
      </c>
      <c r="AE66" s="68">
        <f>X66*cost_early_treatment</f>
        <v>37504.36285695633</v>
      </c>
      <c r="AF66" s="68">
        <f>T66*cost_advanced_year</f>
        <v>661920.047710046</v>
      </c>
      <c r="AG66" s="68">
        <f>AD66+AE66+AF66</f>
        <v>699424.4105670024</v>
      </c>
      <c r="AH66" s="67">
        <f>V66</f>
        <v>4812.80794145099</v>
      </c>
      <c r="AI66" s="67">
        <f>R66*u_healthy+S66*u_early+T66*u_advanced</f>
        <v>4318.182778261719</v>
      </c>
      <c r="AJ66" s="69">
        <f>1/(1+disc_costs)^A66</f>
        <v>0.1854719302543696</v>
      </c>
      <c r="AK66" s="69">
        <f>1/(1+disc_effects)^A66</f>
        <v>0.1854719302543696</v>
      </c>
      <c r="AL66" s="68">
        <f>AG66*AJ66</f>
        <v>129723.59549488663</v>
      </c>
      <c r="AM66" s="67">
        <f>AI66*AK66</f>
        <v>800.9016950753775</v>
      </c>
      <c r="AN66" s="67">
        <f>AH66*AK66</f>
        <v>892.6407788444741</v>
      </c>
      <c r="AO66" s="64" t="str">
        <f>IF(AND(ABS(V66+U66-cohort_size)&lt;0.000001*cohort_size,MIN(I66:Q66)&gt;=0,MAX(I66:Q66)&lt;=1),"OK","CHECK")</f>
        <v>OK</v>
      </c>
    </row>
    <row r="67">
      <c r="A67" s="63">
        <f>A66+1</f>
        <v>58.0</v>
      </c>
      <c r="B67" s="63">
        <f>start_age+A67</f>
        <v>98.0</v>
      </c>
      <c r="C67" s="64" t="str">
        <f>INDEX(age_band_label,MATCH(B67,age_band_start,1))</f>
        <v>95-99</v>
      </c>
      <c r="D67" s="65">
        <f>INDEX(p_background_death,MATCH(B67,age_band_start,1))</f>
        <v>0.29</v>
      </c>
      <c r="E67" s="65">
        <f>INDEX(p_cancer_onset,MATCH(B67,age_band_start,1))</f>
        <v>0.0024</v>
      </c>
      <c r="F67" s="63">
        <f>IF(AND($B$3="Yes",B67&gt;=$E$3,B67&lt;=$H$3),1,0)</f>
        <v>0.0</v>
      </c>
      <c r="G67" s="66">
        <f>F67*screen_participation</f>
        <v>0.0</v>
      </c>
      <c r="H67" s="65">
        <f>1-(1-p_detect_symptoms)*(1-G67*screen_sensitivity)</f>
        <v>0.09999999999999998</v>
      </c>
      <c r="I67" s="65">
        <f>1-J67-K67</f>
        <v>0.708296</v>
      </c>
      <c r="J67" s="65">
        <f>(1-D67)*E67</f>
        <v>0.0017039999999999998</v>
      </c>
      <c r="K67" s="65">
        <f>D67</f>
        <v>0.29</v>
      </c>
      <c r="L67" s="65">
        <f>(1-D67)*H67*p_cure_early</f>
        <v>0.06389999999999998</v>
      </c>
      <c r="M67" s="65">
        <f>(1-D67)*(1-H67)*(1-p_progression)</f>
        <v>0.47925</v>
      </c>
      <c r="N67" s="65">
        <f>(1-D67)*(H67*(1-p_cure_early)+(1-H67)*p_progression)</f>
        <v>0.16684999999999997</v>
      </c>
      <c r="O67" s="65">
        <f>D67</f>
        <v>0.29</v>
      </c>
      <c r="P67" s="65">
        <f>1-Q67</f>
        <v>0.5325</v>
      </c>
      <c r="Q67" s="65">
        <f>1-(1-D67)*(1-p_death_advanced)</f>
        <v>0.4675</v>
      </c>
      <c r="R67" s="67">
        <f>R66*I66+S66*L66</f>
        <v>3362.758207773013</v>
      </c>
      <c r="S67" s="67">
        <f>R66*J66+S66*M66</f>
        <v>24.961585449226813</v>
      </c>
      <c r="T67" s="67">
        <f>S66*N66+T66*P66</f>
        <v>23.49930478453647</v>
      </c>
      <c r="U67" s="67">
        <f>U66+R66*K66+S66*O66+T66*Q66</f>
        <v>96588.78090199314</v>
      </c>
      <c r="V67" s="67">
        <f>R67+S67+T67</f>
        <v>3411.219098006776</v>
      </c>
      <c r="W67" s="67">
        <f>R67*J67</f>
        <v>5.730139986045214</v>
      </c>
      <c r="X67" s="67">
        <f>S67*(1-D67)*H67</f>
        <v>1.7722725668951032</v>
      </c>
      <c r="Y67" s="67">
        <f>S67*(1-D67)*(1-H67)*p_progression</f>
        <v>3.9876132755139833</v>
      </c>
      <c r="Z67" s="67">
        <f>X67+Y67</f>
        <v>5.759885842409086</v>
      </c>
      <c r="AA67" s="67">
        <f>T67*(1-D67)*p_death_advanced</f>
        <v>4.171126599255223</v>
      </c>
      <c r="AB67" s="67">
        <f>(R67+S67)*G67</f>
        <v>0.0</v>
      </c>
      <c r="AC67" s="67">
        <f>G67*(R67*(1-screen_specificity)+S67*screen_sensitivity)</f>
        <v>0.0</v>
      </c>
      <c r="AD67" s="68">
        <f>AB67*cost_screen_test+AC67*cost_followup_test</f>
        <v>0.0</v>
      </c>
      <c r="AE67" s="68">
        <f>X67*cost_early_treatment</f>
        <v>26584.08850342655</v>
      </c>
      <c r="AF67" s="68">
        <f>T67*cost_advanced_year</f>
        <v>469986.0956907294</v>
      </c>
      <c r="AG67" s="68">
        <f>AD67+AE67+AF67</f>
        <v>496570.1841941559</v>
      </c>
      <c r="AH67" s="67">
        <f>V67</f>
        <v>3411.219098006776</v>
      </c>
      <c r="AI67" s="67">
        <f>R67*u_healthy+S67*u_early+T67*u_advanced</f>
        <v>3060.6243522590494</v>
      </c>
      <c r="AJ67" s="69">
        <f>1/(1+disc_costs)^A67</f>
        <v>0.1800698351984171</v>
      </c>
      <c r="AK67" s="69">
        <f>1/(1+disc_effects)^A67</f>
        <v>0.1800698351984171</v>
      </c>
      <c r="AL67" s="68">
        <f>AG67*AJ67</f>
        <v>89417.31123228928</v>
      </c>
      <c r="AM67" s="67">
        <f>AI67*AK67</f>
        <v>551.1261227155491</v>
      </c>
      <c r="AN67" s="67">
        <f>AH67*AK67</f>
        <v>614.2576608037732</v>
      </c>
      <c r="AO67" s="64" t="str">
        <f>IF(AND(ABS(V67+U67-cohort_size)&lt;0.000001*cohort_size,MIN(I67:Q67)&gt;=0,MAX(I67:Q67)&lt;=1),"OK","CHECK")</f>
        <v>OK</v>
      </c>
    </row>
    <row r="68">
      <c r="A68" s="63">
        <f>A67+1</f>
        <v>59.0</v>
      </c>
      <c r="B68" s="63">
        <f>start_age+A68</f>
        <v>99.0</v>
      </c>
      <c r="C68" s="64" t="str">
        <f>INDEX(age_band_label,MATCH(B68,age_band_start,1))</f>
        <v>95-99</v>
      </c>
      <c r="D68" s="65">
        <f>INDEX(p_background_death,MATCH(B68,age_band_start,1))</f>
        <v>0.29</v>
      </c>
      <c r="E68" s="65">
        <f>INDEX(p_cancer_onset,MATCH(B68,age_band_start,1))</f>
        <v>0.0024</v>
      </c>
      <c r="F68" s="63">
        <f>IF(AND($B$3="Yes",B68&gt;=$E$3,B68&lt;=$H$3),1,0)</f>
        <v>0.0</v>
      </c>
      <c r="G68" s="66">
        <f>F68*screen_participation</f>
        <v>0.0</v>
      </c>
      <c r="H68" s="65">
        <f>1-(1-p_detect_symptoms)*(1-G68*screen_sensitivity)</f>
        <v>0.09999999999999998</v>
      </c>
      <c r="I68" s="65">
        <f>1-J68-K68</f>
        <v>0.708296</v>
      </c>
      <c r="J68" s="65">
        <f>(1-D68)*E68</f>
        <v>0.0017039999999999998</v>
      </c>
      <c r="K68" s="65">
        <f>D68</f>
        <v>0.29</v>
      </c>
      <c r="L68" s="65">
        <f>(1-D68)*H68*p_cure_early</f>
        <v>0.06389999999999998</v>
      </c>
      <c r="M68" s="65">
        <f>(1-D68)*(1-H68)*(1-p_progression)</f>
        <v>0.47925</v>
      </c>
      <c r="N68" s="65">
        <f>(1-D68)*(H68*(1-p_cure_early)+(1-H68)*p_progression)</f>
        <v>0.16684999999999997</v>
      </c>
      <c r="O68" s="65">
        <f>D68</f>
        <v>0.29</v>
      </c>
      <c r="P68" s="65">
        <f>1-Q68</f>
        <v>0.5325</v>
      </c>
      <c r="Q68" s="65">
        <f>1-(1-D68)*(1-p_death_advanced)</f>
        <v>0.4675</v>
      </c>
      <c r="R68" s="67">
        <f>R67*I67+S67*L67</f>
        <v>2383.423232843</v>
      </c>
      <c r="S68" s="67">
        <f>R67*J67+S67*M67</f>
        <v>17.692979812587165</v>
      </c>
      <c r="T68" s="67">
        <f>S67*N67+T67*P67</f>
        <v>16.67822032996916</v>
      </c>
      <c r="U68" s="67">
        <f>U67+R67*K67+S67*O67+T67*Q67</f>
        <v>97582.20556701437</v>
      </c>
      <c r="V68" s="67">
        <f>R68+S68+T68</f>
        <v>2417.794432985556</v>
      </c>
      <c r="W68" s="67">
        <f>R68*J68</f>
        <v>4.061353188764471</v>
      </c>
      <c r="X68" s="67">
        <f>S68*(1-D68)*H68</f>
        <v>1.2562015666936883</v>
      </c>
      <c r="Y68" s="67">
        <f>S68*(1-D68)*(1-H68)*p_progression</f>
        <v>2.8264535250607996</v>
      </c>
      <c r="Z68" s="67">
        <f>X68+Y68</f>
        <v>4.0826550917544875</v>
      </c>
      <c r="AA68" s="67">
        <f>T68*(1-D68)*p_death_advanced</f>
        <v>2.9603841085695257</v>
      </c>
      <c r="AB68" s="67">
        <f>(R68+S68)*G68</f>
        <v>0.0</v>
      </c>
      <c r="AC68" s="67">
        <f>G68*(R68*(1-screen_specificity)+S68*screen_sensitivity)</f>
        <v>0.0</v>
      </c>
      <c r="AD68" s="68">
        <f>AB68*cost_screen_test+AC68*cost_followup_test</f>
        <v>0.0</v>
      </c>
      <c r="AE68" s="68">
        <f>X68*cost_early_treatment</f>
        <v>18843.023500405325</v>
      </c>
      <c r="AF68" s="68">
        <f>T68*cost_advanced_year</f>
        <v>333564.4065993832</v>
      </c>
      <c r="AG68" s="68">
        <f>AD68+AE68+AF68</f>
        <v>352407.43009978853</v>
      </c>
      <c r="AH68" s="67">
        <f>V68</f>
        <v>2417.794432985556</v>
      </c>
      <c r="AI68" s="67">
        <f>R68*u_healthy+S68*u_early+T68*u_advanced</f>
        <v>2169.2929635808823</v>
      </c>
      <c r="AJ68" s="69">
        <f>1/(1+disc_costs)^A68</f>
        <v>0.17482508271690977</v>
      </c>
      <c r="AK68" s="69">
        <f>1/(1+disc_effects)^A68</f>
        <v>0.17482508271690977</v>
      </c>
      <c r="AL68" s="68">
        <f>AG68*AJ68</f>
        <v>61609.65811724913</v>
      </c>
      <c r="AM68" s="67">
        <f>AI68*AK68</f>
        <v>379.2468217952381</v>
      </c>
      <c r="AN68" s="67">
        <f>AH68*AK68</f>
        <v>422.6911117391838</v>
      </c>
      <c r="AO68" s="64" t="str">
        <f>IF(AND(ABS(V68+U68-cohort_size)&lt;0.000001*cohort_size,MIN(I68:Q68)&gt;=0,MAX(I68:Q68)&lt;=1),"OK","CHECK")</f>
        <v>OK</v>
      </c>
    </row>
  </sheetData>
  <mergeCells count="10">
    <mergeCell ref="I6:Q6"/>
    <mergeCell ref="AD6:AG6"/>
    <mergeCell ref="AL6:AN6"/>
    <mergeCell ref="D6:H6"/>
    <mergeCell ref="AB6:AC6"/>
    <mergeCell ref="R6:V6"/>
    <mergeCell ref="AH6:AI6"/>
    <mergeCell ref="A6:C6"/>
    <mergeCell ref="W6:AA6"/>
    <mergeCell ref="AJ6:AK6"/>
  </mergeCell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00A9D08E"/>
    <outlinePr summaryBelow="1" summaryRight="1"/>
    <pageSetUpPr/>
  </sheetPr>
  <dimension ref="A1:G19"/>
  <sheetViews>
    <sheetView workbookViewId="0">
      <selection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4" customWidth="1" min="6" max="6"/>
    <col width="60" customWidth="1" min="7" max="7"/>
  </cols>
  <sheetData>
    <row r="1">
      <c r="A1" s="12" t="inlineStr">
        <is>
          <t>The transition matrix of one year</t>
        </is>
      </c>
    </row>
    <row r="2">
      <c r="A2" s="13" t="inlineStr">
        <is>
          <t>Pick a strategy and an age to see the matrix the model uses that year and how it moves the cohort to the next year. The numbers come from the Trace sheets.</t>
        </is>
      </c>
    </row>
    <row r="4">
      <c r="A4" s="14" t="inlineStr">
        <is>
          <t>Strategy number (1, 2 or 3)</t>
        </is>
      </c>
      <c r="B4" s="23" t="n">
        <v>2</v>
      </c>
      <c r="C4" s="70" t="str">
        <f>INDEX(strategy_name,B4)</f>
        <v>Screening 50-74</v>
      </c>
    </row>
    <row r="5">
      <c r="A5" s="14" t="inlineStr">
        <is>
          <t>Age</t>
        </is>
      </c>
      <c r="B5" s="23" t="n">
        <v>55</v>
      </c>
    </row>
    <row r="6">
      <c r="A6" s="21" t="inlineStr">
        <is>
          <t>Row of this age in the Trace sheet</t>
        </is>
      </c>
      <c r="B6" s="21">
        <f>MATCH(B5,'Trace 1'!$B$9:$B$68,0)</f>
        <v>16.0</v>
      </c>
    </row>
    <row r="8" ht="20" customHeight="1">
      <c r="A8" s="17" t="inlineStr">
        <is>
          <t>Transition probabilities of this year</t>
        </is>
      </c>
      <c r="B8" s="18" t="n"/>
      <c r="C8" s="18" t="n"/>
      <c r="D8" s="18" t="n"/>
      <c r="E8" s="18" t="n"/>
      <c r="F8" s="18" t="n"/>
      <c r="G8" s="18" t="n"/>
    </row>
    <row r="9" ht="30" customHeight="1">
      <c r="A9" s="14" t="inlineStr">
        <is>
          <t>From (row) → To (column)</t>
        </is>
      </c>
      <c r="B9" s="19" t="inlineStr">
        <is>
          <t>Healthy</t>
        </is>
      </c>
      <c r="C9" s="19" t="inlineStr">
        <is>
          <t>Early cancer</t>
        </is>
      </c>
      <c r="D9" s="19" t="inlineStr">
        <is>
          <t>Advanced cancer</t>
        </is>
      </c>
      <c r="E9" s="19" t="inlineStr">
        <is>
          <t>Dead</t>
        </is>
      </c>
      <c r="F9" s="19" t="inlineStr">
        <is>
          <t>Row sum</t>
        </is>
      </c>
    </row>
    <row r="10">
      <c r="A10" s="71" t="inlineStr">
        <is>
          <t>Healthy</t>
        </is>
      </c>
      <c r="B10" s="72">
        <f>CHOOSE($B$4,INDEX('Trace 1'!$I$9:$I$68,$B$6+0),INDEX('Trace 2'!$I$9:$I$68,$B$6+0),INDEX('Trace 3'!$I$9:$I$68,$B$6+0))</f>
        <v>0.9937044</v>
      </c>
      <c r="C10" s="72">
        <f>CHOOSE($B$4,INDEX('Trace 1'!$J$9:$J$68,$B$6+0),INDEX('Trace 2'!$J$9:$J$68,$B$6+0),INDEX('Trace 3'!$J$9:$J$68,$B$6+0))</f>
        <v>0.0007956</v>
      </c>
      <c r="D10" s="73" t="n">
        <v>0</v>
      </c>
      <c r="E10" s="72">
        <f>CHOOSE($B$4,INDEX('Trace 1'!$K$9:$K$68,$B$6+0),INDEX('Trace 2'!$K$9:$K$68,$B$6+0),INDEX('Trace 3'!$K$9:$K$68,$B$6+0))</f>
        <v>0.0055</v>
      </c>
      <c r="F10" s="74">
        <f>SUM(B10:E10)</f>
        <v>1.0</v>
      </c>
      <c r="G10" s="4" t="inlineStr">
        <is>
          <t>Each row adds up to 1: everyone ends the year somewhere. Grey zeros are transitions the model does not allow (for example, nobody goes from Dead back to Healthy).</t>
        </is>
      </c>
    </row>
    <row r="11">
      <c r="A11" s="71" t="inlineStr">
        <is>
          <t>Early cancer</t>
        </is>
      </c>
      <c r="B11" s="72">
        <f>CHOOSE($B$4,INDEX('Trace 1'!$L$9:$L$68,$B$6+0),INDEX('Trace 2'!$L$9:$L$68,$B$6+0),INDEX('Trace 3'!$L$9:$L$68,$B$6+0))</f>
        <v>0.4278338999999999</v>
      </c>
      <c r="C11" s="72">
        <f>CHOOSE($B$4,INDEX('Trace 1'!$M$9:$M$68,$B$6+0),INDEX('Trace 2'!$M$9:$M$68,$B$6+0),INDEX('Trace 3'!$M$9:$M$68,$B$6+0))</f>
        <v>0.38934675000000013</v>
      </c>
      <c r="D11" s="72">
        <f>CHOOSE($B$4,INDEX('Trace 1'!$N$9:$N$68,$B$6+0),INDEX('Trace 2'!$N$9:$N$68,$B$6+0),INDEX('Trace 3'!$N$9:$N$68,$B$6+0))</f>
        <v>0.17731935000000001</v>
      </c>
      <c r="E11" s="72">
        <f>CHOOSE($B$4,INDEX('Trace 1'!$O$9:$O$68,$B$6+0),INDEX('Trace 2'!$O$9:$O$68,$B$6+0),INDEX('Trace 3'!$O$9:$O$68,$B$6+0))</f>
        <v>0.0055</v>
      </c>
      <c r="F11" s="74">
        <f>SUM(B11:E11)</f>
        <v>1.0</v>
      </c>
    </row>
    <row r="12">
      <c r="A12" s="71" t="inlineStr">
        <is>
          <t>Advanced cancer</t>
        </is>
      </c>
      <c r="B12" s="73" t="n">
        <v>0</v>
      </c>
      <c r="C12" s="73" t="n">
        <v>0</v>
      </c>
      <c r="D12" s="72">
        <f>CHOOSE($B$4,INDEX('Trace 1'!$P$9:$P$68,$B$6+0),INDEX('Trace 2'!$P$9:$P$68,$B$6+0),INDEX('Trace 3'!$P$9:$P$68,$B$6+0))</f>
        <v>0.7458750000000001</v>
      </c>
      <c r="E12" s="72">
        <f>CHOOSE($B$4,INDEX('Trace 1'!$Q$9:$Q$68,$B$6+0),INDEX('Trace 2'!$Q$9:$Q$68,$B$6+0),INDEX('Trace 3'!$Q$9:$Q$68,$B$6+0))</f>
        <v>0.25412499999999993</v>
      </c>
      <c r="F12" s="74">
        <f>SUM(B12:E12)</f>
        <v>1.0</v>
      </c>
    </row>
    <row r="13">
      <c r="A13" s="71" t="inlineStr">
        <is>
          <t>Dead</t>
        </is>
      </c>
      <c r="B13" s="73" t="n">
        <v>0</v>
      </c>
      <c r="C13" s="73" t="n">
        <v>0</v>
      </c>
      <c r="D13" s="73" t="n">
        <v>0</v>
      </c>
      <c r="E13" s="75" t="n">
        <v>1</v>
      </c>
      <c r="F13" s="74">
        <f>SUM(B13:E13)</f>
        <v>1.0</v>
      </c>
    </row>
    <row r="15" ht="20" customHeight="1">
      <c r="A15" s="17" t="inlineStr">
        <is>
          <t>How the matrix moves the cohort</t>
        </is>
      </c>
      <c r="B15" s="18" t="n"/>
      <c r="C15" s="18" t="n"/>
      <c r="D15" s="18" t="n"/>
      <c r="E15" s="18" t="n"/>
      <c r="F15" s="18" t="n"/>
      <c r="G15" s="18" t="n"/>
    </row>
    <row r="16" ht="30" customHeight="1">
      <c r="B16" s="19" t="inlineStr">
        <is>
          <t>Healthy</t>
        </is>
      </c>
      <c r="C16" s="19" t="inlineStr">
        <is>
          <t>Early cancer</t>
        </is>
      </c>
      <c r="D16" s="19" t="inlineStr">
        <is>
          <t>Advanced cancer</t>
        </is>
      </c>
      <c r="E16" s="19" t="inlineStr">
        <is>
          <t>Dead</t>
        </is>
      </c>
      <c r="F16" s="19" t="inlineStr">
        <is>
          <t>Total</t>
        </is>
      </c>
    </row>
    <row r="17" ht="26" customHeight="1">
      <c r="A17" s="71" t="str">
        <f>"People at the start of age "&amp;B5</f>
        <v>People at the start of age 55</v>
      </c>
      <c r="B17" s="76">
        <f>CHOOSE($B$4,INDEX('Trace 1'!$R$9:$R$68,$B$6+0),INDEX('Trace 2'!$R$9:$R$68,$B$6+0),INDEX('Trace 3'!$R$9:$R$68,$B$6+0))</f>
        <v>96057.10890851571</v>
      </c>
      <c r="C17" s="76">
        <f>CHOOSE($B$4,INDEX('Trace 1'!$S$9:$S$68,$B$6+0),INDEX('Trace 2'!$S$9:$S$68,$B$6+0),INDEX('Trace 3'!$S$9:$S$68,$B$6+0))</f>
        <v>86.9468092532831</v>
      </c>
      <c r="D17" s="76">
        <f>CHOOSE($B$4,INDEX('Trace 1'!$T$9:$T$68,$B$6+0),INDEX('Trace 2'!$T$9:$T$68,$B$6+0),INDEX('Trace 3'!$T$9:$T$68,$B$6+0))</f>
        <v>64.98004937329301</v>
      </c>
      <c r="E17" s="76">
        <f>CHOOSE($B$4,INDEX('Trace 1'!$U$9:$U$68,$B$6+0),INDEX('Trace 2'!$U$9:$U$68,$B$6+0),INDEX('Trace 3'!$U$9:$U$68,$B$6+0))</f>
        <v>3790.964232857732</v>
      </c>
      <c r="F17" s="77">
        <f>SUM(B17:E17)</f>
        <v>100000.00000000001</v>
      </c>
      <c r="G17" s="4" t="inlineStr">
        <is>
          <t>Click a cell of row 18: each state next year is the sum, over this year's states, of the people in it times the probability of moving from it to that state. That is the product of a row vector by a matrix, which Excel can also do with MMULT.</t>
        </is>
      </c>
    </row>
    <row r="18" ht="26" customHeight="1">
      <c r="A18" s="71" t="inlineStr">
        <is>
          <t>People a year later = row above x matrix</t>
        </is>
      </c>
      <c r="B18" s="78">
        <f>$B$17*B10+C$17*B11+D$17*B12+E$17*B13</f>
        <v>95489.57056616666</v>
      </c>
      <c r="C18" s="78">
        <f>$B$17*C10+C$17*C11+D$17*C12+E$17*C13</f>
        <v>110.27549345325082</v>
      </c>
      <c r="D18" s="78">
        <f>$B$17*D10+C$17*D11+D$17*D12+E$17*D13</f>
        <v>63.88434602767107</v>
      </c>
      <c r="E18" s="78">
        <f>$B$17*E10+C$17*E11+D$17*E12+E$17*E13</f>
        <v>4336.2695943524495</v>
      </c>
      <c r="F18" s="77">
        <f>SUM(B18:E18)</f>
        <v>100000.00000000003</v>
      </c>
    </row>
    <row r="19" ht="26" customHeight="1">
      <c r="A19" s="71" t="inlineStr">
        <is>
          <t>The same, as the Trace sheet has it</t>
        </is>
      </c>
      <c r="B19" s="76">
        <f>CHOOSE($B$4,INDEX('Trace 1'!$R$9:$R$68,$B$6+1),INDEX('Trace 2'!$R$9:$R$68,$B$6+1),INDEX('Trace 3'!$R$9:$R$68,$B$6+1))</f>
        <v>95489.57056616666</v>
      </c>
      <c r="C19" s="76">
        <f>CHOOSE($B$4,INDEX('Trace 1'!$S$9:$S$68,$B$6+1),INDEX('Trace 2'!$S$9:$S$68,$B$6+1),INDEX('Trace 3'!$S$9:$S$68,$B$6+1))</f>
        <v>110.27549345325082</v>
      </c>
      <c r="D19" s="76">
        <f>CHOOSE($B$4,INDEX('Trace 1'!$T$9:$T$68,$B$6+1),INDEX('Trace 2'!$T$9:$T$68,$B$6+1),INDEX('Trace 3'!$T$9:$T$68,$B$6+1))</f>
        <v>63.88434602767107</v>
      </c>
      <c r="E19" s="76">
        <f>CHOOSE($B$4,INDEX('Trace 1'!$U$9:$U$68,$B$6+1),INDEX('Trace 2'!$U$9:$U$68,$B$6+1),INDEX('Trace 3'!$U$9:$U$68,$B$6+1))</f>
        <v>4336.2695943524495</v>
      </c>
      <c r="F19" s="77">
        <f>SUM(B19:E19)</f>
        <v>100000.00000000003</v>
      </c>
    </row>
  </sheetData>
  <mergeCells count="2">
    <mergeCell ref="G17:G19"/>
    <mergeCell ref="G10:G13"/>
  </mergeCells>
  <dataValidations count="2">
    <dataValidation sqref="B4" showDropDown="0" showInputMessage="0" showErrorMessage="1" allowBlank="0" errorTitle="Strategy" error="Choose 1, 2 or 3" type="list">
      <formula1>"1,2,3"</formula1>
    </dataValidation>
    <dataValidation sqref="B5" showDropDown="0" showInputMessage="0" showErrorMessage="1" allowBlank="0" errorTitle="Age" error="Choose an age from the start age to start age + 58." type="custom">
      <formula1>AND(B5&gt;=start_age,B5&lt;=start_age+58)</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0070AD47"/>
    <outlinePr summaryBelow="1" summaryRight="1"/>
    <pageSetUpPr/>
  </sheetPr>
  <dimension ref="A1:M52"/>
  <sheetViews>
    <sheetView workbookViewId="0">
      <pane ySplit="4" topLeftCell="A5" activePane="bottomLeft" state="frozen"/>
      <selection pane="bottomLeft" activeCell="A1" sqref="A1"/>
    </sheetView>
  </sheetViews>
  <sheetFormatPr baseColWidth="8" defaultRowHeight="15"/>
  <cols>
    <col width="22" customWidth="1" min="1" max="1"/>
    <col width="22" customWidth="1" min="2" max="2"/>
    <col width="17" customWidth="1" min="3" max="3"/>
    <col width="17" customWidth="1" min="4" max="4"/>
    <col width="17" customWidth="1" min="5" max="5"/>
    <col width="19" customWidth="1" min="6" max="6"/>
    <col width="19" customWidth="1" min="7" max="7"/>
    <col width="17" customWidth="1" min="8" max="8"/>
    <col width="17" customWidth="1" min="9" max="9"/>
    <col width="17" customWidth="1" min="10" max="10"/>
    <col width="3" customWidth="1" min="11" max="11"/>
    <col width="14" customWidth="1" min="12" max="12"/>
    <col width="14" customWidth="1" min="13" max="13"/>
  </cols>
  <sheetData>
    <row r="1">
      <c r="A1" s="12" t="inlineStr">
        <is>
          <t>Results</t>
        </is>
      </c>
    </row>
    <row r="2">
      <c r="A2" s="13" t="inlineStr">
        <is>
          <t>Everything here is calculated from the row "All years" (row 8) of each Trace sheet. Costs, QALYs and life years are discounted unless a heading says otherwise.</t>
        </is>
      </c>
    </row>
    <row r="3">
      <c r="A3" s="14" t="inlineStr">
        <is>
          <t>Model checks</t>
        </is>
      </c>
      <c r="B3" s="79" t="str">
        <f>IF(AND(input_check="OK",'Trace 1'!AO8="OK",'Trace 2'!AO8="OK",'Trace 3'!AO8="OK"),"All OK","PROBLEM: see the input check (Inputs, B3) and column AO of the Trace sheets")</f>
        <v>All OK</v>
      </c>
    </row>
    <row r="4">
      <c r="A4" s="14" t="inlineStr">
        <is>
          <t>Conclusion</t>
        </is>
      </c>
      <c r="B4" s="14" t="str">
        <f>"At €"&amp;FIXED(wtp,0)&amp;" per QALY, the strategy with the highest net monetary benefit is: "&amp;INDEX(B8:B10,MATCH(MAX(G8:G10),G8:G10,0))</f>
        <v>At €25,000 per QALY, the strategy with the highest net monetary benefit is: Screening 50-74</v>
      </c>
    </row>
    <row r="6" ht="20" customHeight="1">
      <c r="A6" s="17" t="inlineStr">
        <is>
          <t>1. Summary per person</t>
        </is>
      </c>
      <c r="B6" s="18" t="n"/>
      <c r="C6" s="18" t="n"/>
      <c r="D6" s="18" t="n"/>
      <c r="E6" s="18" t="n"/>
      <c r="F6" s="18" t="n"/>
      <c r="G6" s="18" t="n"/>
      <c r="H6" s="18" t="n"/>
      <c r="I6" s="18" t="n"/>
      <c r="J6" s="18" t="n"/>
    </row>
    <row r="7" ht="30" customHeight="1">
      <c r="A7" s="19" t="inlineStr">
        <is>
          <t>Number</t>
        </is>
      </c>
      <c r="B7" s="19" t="inlineStr">
        <is>
          <t>Strategy</t>
        </is>
      </c>
      <c r="C7" s="19" t="inlineStr">
        <is>
          <t>Cost (€)</t>
        </is>
      </c>
      <c r="D7" s="19" t="inlineStr">
        <is>
          <t>QALYs</t>
        </is>
      </c>
      <c r="E7" s="19" t="inlineStr">
        <is>
          <t>Life years</t>
        </is>
      </c>
      <c r="F7" s="19" t="inlineStr">
        <is>
          <t>Life years (not discounted)</t>
        </is>
      </c>
      <c r="G7" s="19" t="inlineStr">
        <is>
          <t>Net monetary benefit (€)</t>
        </is>
      </c>
      <c r="L7" s="80" t="inlineStr">
        <is>
          <t>Helper: cost to sort by</t>
        </is>
      </c>
    </row>
    <row r="8">
      <c r="A8" s="36" t="n">
        <v>1</v>
      </c>
      <c r="B8" s="81" t="str">
        <f>INDEX(strategy_name,A8)</f>
        <v>No screening</v>
      </c>
      <c r="C8" s="82">
        <f>'Trace 1'!AL8/cohort_size</f>
        <v>889.8265416305338</v>
      </c>
      <c r="D8" s="83">
        <f>'Trace 1'!AM8/cohort_size</f>
        <v>21.21701092119975</v>
      </c>
      <c r="E8" s="83">
        <f>'Trace 1'!AN8/cohort_size</f>
        <v>23.593244042479316</v>
      </c>
      <c r="F8" s="83">
        <f>'Trace 1'!AH8/cohort_size</f>
        <v>41.66486605593055</v>
      </c>
      <c r="G8" s="84">
        <f>D8*wtp-C8</f>
        <v>529535.4464883632</v>
      </c>
      <c r="L8" s="29">
        <f>C8+A8*0.000001</f>
        <v>889.8265426305338</v>
      </c>
    </row>
    <row r="9">
      <c r="A9" s="36" t="n">
        <v>2</v>
      </c>
      <c r="B9" s="81" t="str">
        <f>INDEX(strategy_name,A9)</f>
        <v>Screening 50-74</v>
      </c>
      <c r="C9" s="82">
        <f>'Trace 2'!AL8/cohort_size</f>
        <v>1415.56536138384</v>
      </c>
      <c r="D9" s="83">
        <f>'Trace 2'!AM8/cohort_size</f>
        <v>21.264688662812443</v>
      </c>
      <c r="E9" s="83">
        <f>'Trace 2'!AN8/cohort_size</f>
        <v>23.63956929643035</v>
      </c>
      <c r="F9" s="83">
        <f>'Trace 2'!AH8/cohort_size</f>
        <v>41.802974609105455</v>
      </c>
      <c r="G9" s="84">
        <f>D9*wtp-C9</f>
        <v>530201.6512089273</v>
      </c>
      <c r="L9" s="29">
        <f>C9+A9*0.000001</f>
        <v>1415.56536338384</v>
      </c>
    </row>
    <row r="10">
      <c r="A10" s="36" t="n">
        <v>3</v>
      </c>
      <c r="B10" s="81" t="str">
        <f>INDEX(strategy_name,A10)</f>
        <v>Screening 45-74</v>
      </c>
      <c r="C10" s="82">
        <f>'Trace 3'!AL8/cohort_size</f>
        <v>1633.9806035017434</v>
      </c>
      <c r="D10" s="83">
        <f>'Trace 3'!AM8/cohort_size</f>
        <v>21.272259341819225</v>
      </c>
      <c r="E10" s="83">
        <f>'Trace 3'!AN8/cohort_size</f>
        <v>23.64726721563004</v>
      </c>
      <c r="F10" s="83">
        <f>'Trace 3'!AH8/cohort_size</f>
        <v>41.82023998617611</v>
      </c>
      <c r="G10" s="84">
        <f>D10*wtp-C10</f>
        <v>530172.5029419789</v>
      </c>
      <c r="L10" s="29">
        <f>C10+A10*0.000001</f>
        <v>1633.9806065017435</v>
      </c>
    </row>
    <row r="12" ht="20" customHeight="1">
      <c r="A12" s="17" t="inlineStr">
        <is>
          <t>2. Each strategy compared with strategy 1</t>
        </is>
      </c>
      <c r="B12" s="18" t="n"/>
      <c r="C12" s="18" t="n"/>
      <c r="D12" s="18" t="n"/>
      <c r="E12" s="18" t="n"/>
      <c r="F12" s="18" t="n"/>
      <c r="G12" s="18" t="n"/>
      <c r="H12" s="18" t="n"/>
      <c r="I12" s="18" t="n"/>
      <c r="J12" s="18" t="n"/>
    </row>
    <row r="13" ht="30" customHeight="1">
      <c r="A13" s="19" t="inlineStr">
        <is>
          <t>Number</t>
        </is>
      </c>
      <c r="B13" s="19" t="inlineStr">
        <is>
          <t>Strategy</t>
        </is>
      </c>
      <c r="C13" s="19" t="inlineStr">
        <is>
          <t>Extra cost (€)</t>
        </is>
      </c>
      <c r="D13" s="19" t="inlineStr">
        <is>
          <t>Extra QALYs</t>
        </is>
      </c>
      <c r="E13" s="19" t="inlineStr">
        <is>
          <t>Extra quality-adjusted days</t>
        </is>
      </c>
      <c r="F13" s="19" t="inlineStr">
        <is>
          <t>ICER (€ per QALY gained)</t>
        </is>
      </c>
      <c r="G13" s="19" t="inlineStr">
        <is>
          <t>Cancer deaths avoided per 100,000</t>
        </is>
      </c>
      <c r="L13" s="16" t="inlineStr">
        <is>
          <t>Helper: WTP line</t>
        </is>
      </c>
    </row>
    <row r="14">
      <c r="A14" s="36" t="n">
        <v>1</v>
      </c>
      <c r="B14" s="30" t="str">
        <f>B8</f>
        <v>No screening</v>
      </c>
      <c r="C14" s="84">
        <f>C8-$C$8</f>
        <v>0.0</v>
      </c>
      <c r="D14" s="85">
        <f>D8-$D$8</f>
        <v>0.0</v>
      </c>
      <c r="E14" s="86">
        <f>D14*365</f>
        <v>0.0</v>
      </c>
      <c r="F14" s="87" t="str">
        <f>IF(A14=1,"(reference)",IF(AND(D14&gt;=0,C14&lt;=0),"Dominant",IF(AND(D14&lt;=0,C14&gt;=0),"Dominated",C14/D14)))</f>
        <v>(reference)</v>
      </c>
      <c r="G14" s="76">
        <f>('Trace 1'!AA8-'Trace 1'!AA8)/cohort_size*100000</f>
        <v>0.0</v>
      </c>
      <c r="L14" s="88" t="n">
        <v>0</v>
      </c>
      <c r="M14" s="27" t="n">
        <v>0</v>
      </c>
    </row>
    <row r="15">
      <c r="A15" s="36" t="n">
        <v>2</v>
      </c>
      <c r="B15" s="30" t="str">
        <f>B9</f>
        <v>Screening 50-74</v>
      </c>
      <c r="C15" s="84">
        <f>C9-$C$8</f>
        <v>525.7388197533061</v>
      </c>
      <c r="D15" s="85">
        <f>D9-$D$8</f>
        <v>0.04767774161269145</v>
      </c>
      <c r="E15" s="86">
        <f>D15*365</f>
        <v>17.40237568863238</v>
      </c>
      <c r="F15" s="87">
        <f>IF(A15=1,"(reference)",IF(AND(D15&gt;=0,C15&lt;=0),"Dominant",IF(AND(D15&lt;=0,C15&gt;=0),"Dominated",C15/D15)))</f>
        <v>11026.923716817964</v>
      </c>
      <c r="G15" s="76">
        <f>('Trace 1'!AA8-'Trace 2'!AA8)/cohort_size*100000</f>
        <v>859.1386613107832</v>
      </c>
      <c r="L15" s="88">
        <f>MAX(0.0001,MAX(D14:D16)*1.15)</f>
        <v>0.06353568371239521</v>
      </c>
      <c r="M15" s="27">
        <f>L15*wtp</f>
        <v>1588.3920928098803</v>
      </c>
    </row>
    <row r="16">
      <c r="A16" s="36" t="n">
        <v>3</v>
      </c>
      <c r="B16" s="30" t="str">
        <f>B10</f>
        <v>Screening 45-74</v>
      </c>
      <c r="C16" s="84">
        <f>C10-$C$8</f>
        <v>744.1540618712096</v>
      </c>
      <c r="D16" s="85">
        <f>D10-$D$8</f>
        <v>0.0552484206194741</v>
      </c>
      <c r="E16" s="86">
        <f>D16*365</f>
        <v>20.165673526108048</v>
      </c>
      <c r="F16" s="87">
        <f>IF(A16=1,"(reference)",IF(AND(D16&gt;=0,C16&lt;=0),"Dominant",IF(AND(D16&lt;=0,C16&gt;=0),"Dominated",C16/D16)))</f>
        <v>13469.236831159446</v>
      </c>
      <c r="G16" s="76">
        <f>('Trace 1'!AA8-'Trace 3'!AA8)/cohort_size*100000</f>
        <v>916.1441905174183</v>
      </c>
    </row>
    <row r="18" ht="20" customHeight="1">
      <c r="A18" s="17" t="inlineStr">
        <is>
          <t>3. Incremental analysis: the efficiency frontier</t>
        </is>
      </c>
      <c r="B18" s="18" t="n"/>
      <c r="C18" s="18" t="n"/>
      <c r="D18" s="18" t="n"/>
      <c r="E18" s="18" t="n"/>
      <c r="F18" s="18" t="n"/>
      <c r="G18" s="18" t="n"/>
      <c r="H18" s="18" t="n"/>
      <c r="I18" s="18" t="n"/>
      <c r="J18" s="18" t="n"/>
    </row>
    <row r="19" ht="30" customHeight="1">
      <c r="A19" s="19" t="inlineStr">
        <is>
          <t>Rank by cost</t>
        </is>
      </c>
      <c r="B19" s="19" t="inlineStr">
        <is>
          <t>Strategy</t>
        </is>
      </c>
      <c r="C19" s="19" t="inlineStr">
        <is>
          <t>Cost (€)</t>
        </is>
      </c>
      <c r="D19" s="19" t="inlineStr">
        <is>
          <t>QALYs</t>
        </is>
      </c>
      <c r="E19" s="19" t="inlineStr">
        <is>
          <t>Status</t>
        </is>
      </c>
      <c r="F19" s="19" t="inlineStr">
        <is>
          <t>Compared with</t>
        </is>
      </c>
      <c r="G19" s="19" t="inlineStr">
        <is>
          <t>Extra cost (€)</t>
        </is>
      </c>
      <c r="H19" s="19" t="inlineStr">
        <is>
          <t>Extra QALYs</t>
        </is>
      </c>
      <c r="I19" s="19" t="inlineStr">
        <is>
          <t>ICER (€ per QALY gained)</t>
        </is>
      </c>
      <c r="M19" s="80" t="inlineStr">
        <is>
          <t>Helper: strategy number</t>
        </is>
      </c>
    </row>
    <row r="20">
      <c r="A20" s="36" t="n">
        <v>1</v>
      </c>
      <c r="B20" s="30" t="str">
        <f>INDEX($B$8:$B$10,M20)</f>
        <v>No screening</v>
      </c>
      <c r="C20" s="84">
        <f>INDEX($C$8:$C$10,M20)</f>
        <v>889.8265416305338</v>
      </c>
      <c r="D20" s="85">
        <f>INDEX($D$8:$D$10,M20)</f>
        <v>21.21701092119975</v>
      </c>
      <c r="E20" s="30" t="inlineStr">
        <is>
          <t>On frontier</t>
        </is>
      </c>
      <c r="F20" s="36" t="inlineStr">
        <is>
          <t>—</t>
        </is>
      </c>
      <c r="G20" s="36" t="inlineStr">
        <is>
          <t>—</t>
        </is>
      </c>
      <c r="H20" s="36" t="inlineStr">
        <is>
          <t>—</t>
        </is>
      </c>
      <c r="I20" s="36" t="inlineStr">
        <is>
          <t>—</t>
        </is>
      </c>
      <c r="M20" s="21">
        <f>MATCH(SMALL($L$8:$L$10,A20),$L$8:$L$10,0)</f>
        <v>1.0</v>
      </c>
    </row>
    <row r="21">
      <c r="A21" s="36" t="n">
        <v>2</v>
      </c>
      <c r="B21" s="30" t="str">
        <f>INDEX($B$8:$B$10,M21)</f>
        <v>Screening 50-74</v>
      </c>
      <c r="C21" s="84">
        <f>INDEX($C$8:$C$10,M21)</f>
        <v>1415.56536138384</v>
      </c>
      <c r="D21" s="85">
        <f>INDEX($D$8:$D$10,M21)</f>
        <v>21.264688662812443</v>
      </c>
      <c r="E21" s="30" t="str">
        <f>IF(D21&lt;=D20,"Dominated",IF(D22&lt;=D21,"On frontier",IF((C21-C20)/(D21-D20)&gt;(C22-C21)/(D22-D21),"Extendedly dominated","On frontier")))</f>
        <v>On frontier</v>
      </c>
      <c r="F21" s="30" t="str">
        <f>IF(E21="On frontier",B20,"—")</f>
        <v>No screening</v>
      </c>
      <c r="G21" s="89">
        <f>IF(E21="On frontier",C21-C20,"—")</f>
        <v>525.7388197533061</v>
      </c>
      <c r="H21" s="90">
        <f>IF(E21="On frontier",D21-D20,"—")</f>
        <v>0.04767774161269145</v>
      </c>
      <c r="I21" s="87">
        <f>IF(E21="On frontier",G21/H21,"—")</f>
        <v>11026.923716817964</v>
      </c>
      <c r="M21" s="21">
        <f>MATCH(SMALL($L$8:$L$10,A21),$L$8:$L$10,0)</f>
        <v>2.0</v>
      </c>
    </row>
    <row r="22">
      <c r="A22" s="36" t="n">
        <v>3</v>
      </c>
      <c r="B22" s="30" t="str">
        <f>INDEX($B$8:$B$10,M22)</f>
        <v>Screening 45-74</v>
      </c>
      <c r="C22" s="84">
        <f>INDEX($C$8:$C$10,M22)</f>
        <v>1633.9806035017434</v>
      </c>
      <c r="D22" s="85">
        <f>INDEX($D$8:$D$10,M22)</f>
        <v>21.272259341819225</v>
      </c>
      <c r="E22" s="30" t="str">
        <f>IF(D22&lt;=MAX(D20,D21),"Dominated","On frontier")</f>
        <v>On frontier</v>
      </c>
      <c r="F22" s="30" t="str">
        <f>IF(E22="On frontier",IF(E21="On frontier",B21,B20),"—")</f>
        <v>Screening 50-74</v>
      </c>
      <c r="G22" s="89">
        <f>IF(E22="On frontier",C22-IF(E21="On frontier",C21,C20),"—")</f>
        <v>218.41524211790352</v>
      </c>
      <c r="H22" s="90">
        <f>IF(E22="On frontier",D22-IF(E21="On frontier",D21,D20),"—")</f>
        <v>0.007570679006782655</v>
      </c>
      <c r="I22" s="87">
        <f>IF(E22="On frontier",G22/H22,"—")</f>
        <v>28850.15226800963</v>
      </c>
      <c r="M22" s="21">
        <f>MATCH(SMALL($L$8:$L$10,A22),$L$8:$L$10,0)</f>
        <v>3.0</v>
      </c>
    </row>
    <row r="23" ht="43.5" customHeight="1">
      <c r="A23" s="11" t="inlineStr">
        <is>
          <t>How to read it: strategies are sorted from cheapest to most expensive. Each strategy on the frontier is compared with the previous one on the frontier. Going down the frontier, choose the last strategy whose ICER is below the willingness to pay (Inputs, section 6). That is the same strategy as the one with the highest net monetary benefit in section 1.</t>
        </is>
      </c>
    </row>
    <row r="25" ht="20" customHeight="1">
      <c r="A25" s="17" t="inlineStr">
        <is>
          <t>4. Costs per person by type (€, discounted)</t>
        </is>
      </c>
      <c r="B25" s="18" t="n"/>
      <c r="C25" s="18" t="n"/>
      <c r="D25" s="18" t="n"/>
      <c r="E25" s="18" t="n"/>
      <c r="F25" s="18" t="n"/>
      <c r="G25" s="18" t="n"/>
      <c r="H25" s="18" t="n"/>
      <c r="I25" s="18" t="n"/>
      <c r="J25" s="18" t="n"/>
    </row>
    <row r="26" ht="30" customHeight="1">
      <c r="A26" s="19" t="inlineStr">
        <is>
          <t>Number</t>
        </is>
      </c>
      <c r="B26" s="19" t="inlineStr">
        <is>
          <t>Strategy</t>
        </is>
      </c>
      <c r="C26" s="19" t="inlineStr">
        <is>
          <t>Screening</t>
        </is>
      </c>
      <c r="D26" s="19" t="inlineStr">
        <is>
          <t>Early cancer treatment</t>
        </is>
      </c>
      <c r="E26" s="19" t="inlineStr">
        <is>
          <t>Advanced cancer treatment</t>
        </is>
      </c>
      <c r="F26" s="19" t="inlineStr">
        <is>
          <t>Total</t>
        </is>
      </c>
    </row>
    <row r="27">
      <c r="A27" s="36" t="n">
        <v>1</v>
      </c>
      <c r="B27" s="30" t="str">
        <f>B8</f>
        <v>No screening</v>
      </c>
      <c r="C27" s="82">
        <f>SUMPRODUCT('Trace 1'!AD9:AD68,'Trace 1'!AJ9:AJ68)/cohort_size</f>
        <v>0.0</v>
      </c>
      <c r="D27" s="82">
        <f>SUMPRODUCT('Trace 1'!AE9:AE68,'Trace 1'!AJ9:AJ68)/cohort_size</f>
        <v>79.23251877903522</v>
      </c>
      <c r="E27" s="82">
        <f>SUMPRODUCT('Trace 1'!AF9:AF68,'Trace 1'!AJ9:AJ68)/cohort_size</f>
        <v>810.5940228514987</v>
      </c>
      <c r="F27" s="91">
        <f>SUM(C27:E27)</f>
        <v>889.8265416305339</v>
      </c>
    </row>
    <row r="28">
      <c r="A28" s="36" t="n">
        <v>2</v>
      </c>
      <c r="B28" s="30" t="str">
        <f>B9</f>
        <v>Screening 50-74</v>
      </c>
      <c r="C28" s="82">
        <f>SUMPRODUCT('Trace 2'!AD9:AD68,'Trace 2'!AJ9:AJ68)/cohort_size</f>
        <v>739.9900878903419</v>
      </c>
      <c r="D28" s="82">
        <f>SUMPRODUCT('Trace 2'!AE9:AE68,'Trace 2'!AJ9:AJ68)/cohort_size</f>
        <v>165.70361467784394</v>
      </c>
      <c r="E28" s="82">
        <f>SUMPRODUCT('Trace 2'!AF9:AF68,'Trace 2'!AJ9:AJ68)/cohort_size</f>
        <v>509.871658815654</v>
      </c>
      <c r="F28" s="91">
        <f>SUM(C28:E28)</f>
        <v>1415.56536138384</v>
      </c>
    </row>
    <row r="29">
      <c r="A29" s="36" t="n">
        <v>3</v>
      </c>
      <c r="B29" s="30" t="str">
        <f>B10</f>
        <v>Screening 45-74</v>
      </c>
      <c r="C29" s="82">
        <f>SUMPRODUCT('Trace 3'!AD9:AD68,'Trace 3'!AJ9:AJ68)/cohort_size</f>
        <v>982.2270371027793</v>
      </c>
      <c r="D29" s="82">
        <f>SUMPRODUCT('Trace 3'!AE9:AE68,'Trace 3'!AJ9:AJ68)/cohort_size</f>
        <v>174.3371482141492</v>
      </c>
      <c r="E29" s="82">
        <f>SUMPRODUCT('Trace 3'!AF9:AF68,'Trace 3'!AJ9:AJ68)/cohort_size</f>
        <v>477.4164181848149</v>
      </c>
      <c r="F29" s="91">
        <f>SUM(C29:E29)</f>
        <v>1633.9806035017432</v>
      </c>
    </row>
    <row r="31" ht="20" customHeight="1">
      <c r="A31" s="17" t="inlineStr">
        <is>
          <t>5. Cancer and screening over the whole lifetime, per 100,000 people (not discounted)</t>
        </is>
      </c>
      <c r="B31" s="18" t="n"/>
      <c r="C31" s="18" t="n"/>
      <c r="D31" s="18" t="n"/>
      <c r="E31" s="18" t="n"/>
      <c r="F31" s="18" t="n"/>
      <c r="G31" s="18" t="n"/>
      <c r="H31" s="18" t="n"/>
      <c r="I31" s="18" t="n"/>
      <c r="J31" s="18" t="n"/>
    </row>
    <row r="32" ht="30" customHeight="1">
      <c r="A32" s="19" t="inlineStr">
        <is>
          <t>Number</t>
        </is>
      </c>
      <c r="B32" s="19" t="inlineStr">
        <is>
          <t>Strategy</t>
        </is>
      </c>
      <c r="C32" s="19" t="inlineStr">
        <is>
          <t>New cancers</t>
        </is>
      </c>
      <c r="D32" s="19" t="inlineStr">
        <is>
          <t>Diagnosed early</t>
        </is>
      </c>
      <c r="E32" s="19" t="inlineStr">
        <is>
          <t>Diagnosed advanced</t>
        </is>
      </c>
      <c r="F32" s="19" t="inlineStr">
        <is>
          <t>Share diagnosed early</t>
        </is>
      </c>
      <c r="G32" s="19" t="inlineStr">
        <is>
          <t>Cancer deaths</t>
        </is>
      </c>
      <c r="H32" s="19" t="inlineStr">
        <is>
          <t>Screening tests</t>
        </is>
      </c>
      <c r="I32" s="19" t="inlineStr">
        <is>
          <t>Follow-up tests</t>
        </is>
      </c>
      <c r="J32" s="19" t="inlineStr">
        <is>
          <t>Tests per cancer death avoided</t>
        </is>
      </c>
    </row>
    <row r="33">
      <c r="A33" s="36" t="n">
        <v>1</v>
      </c>
      <c r="B33" s="30" t="str">
        <f>B8</f>
        <v>No screening</v>
      </c>
      <c r="C33" s="92">
        <f>'Trace 1'!W8/cohort_size*100000</f>
        <v>4685.587373743309</v>
      </c>
      <c r="D33" s="92">
        <f>'Trace 1'!X8/cohort_size*100000</f>
        <v>1260.0437973144021</v>
      </c>
      <c r="E33" s="92">
        <f>'Trace 1'!Y8/cohort_size*100000</f>
        <v>2835.0985439574056</v>
      </c>
      <c r="F33" s="8">
        <f>IF(D33+E33&gt;0,D33/(D33+E33),0)</f>
        <v>0.30769230769230765</v>
      </c>
      <c r="G33" s="92">
        <f>'Trace 1'!AA8/cohort_size*100000</f>
        <v>2449.2068104546825</v>
      </c>
      <c r="H33" s="92">
        <f>'Trace 1'!AB8/cohort_size*100000</f>
        <v>0.0</v>
      </c>
      <c r="I33" s="92">
        <f>'Trace 1'!AC8/cohort_size*100000</f>
        <v>0.0</v>
      </c>
      <c r="J33" s="93" t="str">
        <f>IF(G$33-G33&gt;0,(H33-H$33)/(G$33-G33),"—")</f>
        <v>—</v>
      </c>
    </row>
    <row r="34">
      <c r="A34" s="36" t="n">
        <v>2</v>
      </c>
      <c r="B34" s="30" t="str">
        <f>B9</f>
        <v>Screening 50-74</v>
      </c>
      <c r="C34" s="92">
        <f>'Trace 2'!W8/cohort_size*100000</f>
        <v>4721.977097587828</v>
      </c>
      <c r="D34" s="92">
        <f>'Trace 2'!X8/cohort_size*100000</f>
        <v>2395.4323922812796</v>
      </c>
      <c r="E34" s="92">
        <f>'Trace 2'!Y8/cohort_size*100000</f>
        <v>1784.3821697793232</v>
      </c>
      <c r="F34" s="8">
        <f>IF(D34+E34&gt;0,D34/(D34+E34),0)</f>
        <v>0.5730953746188103</v>
      </c>
      <c r="G34" s="92">
        <f>'Trace 2'!AA8/cohort_size*100000</f>
        <v>1590.0681491438993</v>
      </c>
      <c r="H34" s="92">
        <f>'Trace 2'!AB8/cohort_size*100000</f>
        <v>1353579.3272118135</v>
      </c>
      <c r="I34" s="92">
        <f>'Trace 2'!AC8/cohort_size*100000</f>
        <v>96210.54378517385</v>
      </c>
      <c r="J34" s="93">
        <f>IF(G$33-G34&gt;0,(H34-H$33)/(G$33-G34),"—")</f>
        <v>1575.507410115458</v>
      </c>
    </row>
    <row r="35">
      <c r="A35" s="36" t="n">
        <v>3</v>
      </c>
      <c r="B35" s="30" t="str">
        <f>B10</f>
        <v>Screening 45-74</v>
      </c>
      <c r="C35" s="92">
        <f>'Trace 3'!W8/cohort_size*100000</f>
        <v>4724.723966285686</v>
      </c>
      <c r="D35" s="92">
        <f>'Trace 3'!X8/cohort_size*100000</f>
        <v>2462.78663978018</v>
      </c>
      <c r="E35" s="92">
        <f>'Trace 3'!Y8/cohort_size*100000</f>
        <v>1719.9954304939854</v>
      </c>
      <c r="F35" s="8">
        <f>IF(D35+E35&gt;0,D35/(D35+E35),0)</f>
        <v>0.5887915264059534</v>
      </c>
      <c r="G35" s="92">
        <f>'Trace 3'!AA8/cohort_size*100000</f>
        <v>1533.0626199372641</v>
      </c>
      <c r="H35" s="92">
        <f>'Trace 3'!AB8/cohort_size*100000</f>
        <v>1650576.167160815</v>
      </c>
      <c r="I35" s="92">
        <f>'Trace 3'!AC8/cohort_size*100000</f>
        <v>117086.8684288625</v>
      </c>
      <c r="J35" s="93">
        <f>IF(G$33-G35&gt;0,(H35-H$33)/(G$33-G35),"—")</f>
        <v>1801.65544271869</v>
      </c>
    </row>
    <row r="37" ht="20" customHeight="1">
      <c r="A37" s="17" t="inlineStr">
        <is>
          <t>6. Cancers diagnosed per 100,000 person-years, by age group</t>
        </is>
      </c>
      <c r="B37" s="18" t="n"/>
      <c r="C37" s="18" t="n"/>
      <c r="D37" s="18" t="n"/>
      <c r="E37" s="18" t="n"/>
      <c r="F37" s="18" t="n"/>
      <c r="G37" s="18" t="n"/>
      <c r="H37" s="18" t="n"/>
      <c r="I37" s="18" t="n"/>
      <c r="J37" s="18" t="n"/>
    </row>
    <row r="38" ht="30" customHeight="1">
      <c r="A38" s="19" t="inlineStr">
        <is>
          <t>Age group</t>
        </is>
      </c>
      <c r="B38" s="19" t="inlineStr"/>
      <c r="C38" s="19" t="inlineStr">
        <is>
          <t>Strategy 1</t>
        </is>
      </c>
      <c r="D38" s="19" t="inlineStr">
        <is>
          <t>Strategy 2</t>
        </is>
      </c>
      <c r="E38" s="19" t="inlineStr">
        <is>
          <t>Strategy 3</t>
        </is>
      </c>
    </row>
    <row r="39">
      <c r="A39" s="14" t="inlineStr"/>
      <c r="C39" s="37" t="str">
        <f>INDEX(strategy_name,1)</f>
        <v>No screening</v>
      </c>
      <c r="D39" s="37" t="str">
        <f>INDEX(strategy_name,2)</f>
        <v>Screening 50-74</v>
      </c>
      <c r="E39" s="37" t="str">
        <f>INDEX(strategy_name,3)</f>
        <v>Screening 45-74</v>
      </c>
    </row>
    <row r="40">
      <c r="A40" s="30" t="inlineStr">
        <is>
          <t>40-44</t>
        </is>
      </c>
      <c r="C40" s="76">
        <f>IFERROR(SUMIFS('Trace 1'!$Z$9:$Z$68,'Trace 1'!$C$9:$C$68,$A40)/SUMIFS('Trace 1'!$V$9:$V$68,'Trace 1'!$C$9:$C$68,$A40)*100000,"")</f>
        <v>11.73575761501642</v>
      </c>
      <c r="D40" s="76">
        <f>IFERROR(SUMIFS('Trace 2'!$Z$9:$Z$68,'Trace 2'!$C$9:$C$68,$A40)/SUMIFS('Trace 2'!$V$9:$V$68,'Trace 2'!$C$9:$C$68,$A40)*100000,"")</f>
        <v>11.73575761501642</v>
      </c>
      <c r="E40" s="76">
        <f>IFERROR(SUMIFS('Trace 3'!$Z$9:$Z$68,'Trace 3'!$C$9:$C$68,$A40)/SUMIFS('Trace 3'!$V$9:$V$68,'Trace 3'!$C$9:$C$68,$A40)*100000,"")</f>
        <v>11.73575761501642</v>
      </c>
    </row>
    <row r="41">
      <c r="A41" s="30" t="inlineStr">
        <is>
          <t>45-49</t>
        </is>
      </c>
      <c r="C41" s="76">
        <f>IFERROR(SUMIFS('Trace 1'!$Z$9:$Z$68,'Trace 1'!$C$9:$C$68,$A41)/SUMIFS('Trace 1'!$V$9:$V$68,'Trace 1'!$C$9:$C$68,$A41)*100000,"")</f>
        <v>27.75672915104768</v>
      </c>
      <c r="D41" s="76">
        <f>IFERROR(SUMIFS('Trace 2'!$Z$9:$Z$68,'Trace 2'!$C$9:$C$68,$A41)/SUMIFS('Trace 2'!$V$9:$V$68,'Trace 2'!$C$9:$C$68,$A41)*100000,"")</f>
        <v>27.75672915104768</v>
      </c>
      <c r="E41" s="76">
        <f>IFERROR(SUMIFS('Trace 3'!$Z$9:$Z$68,'Trace 3'!$C$9:$C$68,$A41)/SUMIFS('Trace 3'!$V$9:$V$68,'Trace 3'!$C$9:$C$68,$A41)*100000,"")</f>
        <v>36.60453167926399</v>
      </c>
    </row>
    <row r="42">
      <c r="A42" s="30" t="inlineStr">
        <is>
          <t>50-54</t>
        </is>
      </c>
      <c r="C42" s="76">
        <f>IFERROR(SUMIFS('Trace 1'!$Z$9:$Z$68,'Trace 1'!$C$9:$C$68,$A42)/SUMIFS('Trace 1'!$V$9:$V$68,'Trace 1'!$C$9:$C$68,$A42)*100000,"")</f>
        <v>43.16965654144804</v>
      </c>
      <c r="D42" s="76">
        <f>IFERROR(SUMIFS('Trace 2'!$Z$9:$Z$68,'Trace 2'!$C$9:$C$68,$A42)/SUMIFS('Trace 2'!$V$9:$V$68,'Trace 2'!$C$9:$C$68,$A42)*100000,"")</f>
        <v>57.010357520743696</v>
      </c>
      <c r="E42" s="76">
        <f>IFERROR(SUMIFS('Trace 3'!$Z$9:$Z$68,'Trace 3'!$C$9:$C$68,$A42)/SUMIFS('Trace 3'!$V$9:$V$68,'Trace 3'!$C$9:$C$68,$A42)*100000,"")</f>
        <v>48.247602959251076</v>
      </c>
    </row>
    <row r="43">
      <c r="A43" s="30" t="inlineStr">
        <is>
          <t>55-59</t>
        </is>
      </c>
      <c r="C43" s="76">
        <f>IFERROR(SUMIFS('Trace 1'!$Z$9:$Z$68,'Trace 1'!$C$9:$C$68,$A43)/SUMIFS('Trace 1'!$V$9:$V$68,'Trace 1'!$C$9:$C$68,$A43)*100000,"")</f>
        <v>64.59366244473436</v>
      </c>
      <c r="D43" s="76">
        <f>IFERROR(SUMIFS('Trace 2'!$Z$9:$Z$68,'Trace 2'!$C$9:$C$68,$A43)/SUMIFS('Trace 2'!$V$9:$V$68,'Trace 2'!$C$9:$C$68,$A43)*100000,"")</f>
        <v>71.3130038005092</v>
      </c>
      <c r="E43" s="76">
        <f>IFERROR(SUMIFS('Trace 3'!$Z$9:$Z$68,'Trace 3'!$C$9:$C$68,$A43)/SUMIFS('Trace 3'!$V$9:$V$68,'Trace 3'!$C$9:$C$68,$A43)*100000,"")</f>
        <v>71.23816989700575</v>
      </c>
    </row>
    <row r="44">
      <c r="A44" s="30" t="inlineStr">
        <is>
          <t>60-64</t>
        </is>
      </c>
      <c r="C44" s="76">
        <f>IFERROR(SUMIFS('Trace 1'!$Z$9:$Z$68,'Trace 1'!$C$9:$C$68,$A44)/SUMIFS('Trace 1'!$V$9:$V$68,'Trace 1'!$C$9:$C$68,$A44)*100000,"")</f>
        <v>90.87448483341467</v>
      </c>
      <c r="D44" s="76">
        <f>IFERROR(SUMIFS('Trace 2'!$Z$9:$Z$68,'Trace 2'!$C$9:$C$68,$A44)/SUMIFS('Trace 2'!$V$9:$V$68,'Trace 2'!$C$9:$C$68,$A44)*100000,"")</f>
        <v>98.98357147996079</v>
      </c>
      <c r="E44" s="76">
        <f>IFERROR(SUMIFS('Trace 3'!$Z$9:$Z$68,'Trace 3'!$C$9:$C$68,$A44)/SUMIFS('Trace 3'!$V$9:$V$68,'Trace 3'!$C$9:$C$68,$A44)*100000,"")</f>
        <v>98.98469416751944</v>
      </c>
    </row>
    <row r="45">
      <c r="A45" s="30" t="inlineStr">
        <is>
          <t>65-69</t>
        </is>
      </c>
      <c r="C45" s="76">
        <f>IFERROR(SUMIFS('Trace 1'!$Z$9:$Z$68,'Trace 1'!$C$9:$C$68,$A45)/SUMIFS('Trace 1'!$V$9:$V$68,'Trace 1'!$C$9:$C$68,$A45)*100000,"")</f>
        <v>123.92887548459157</v>
      </c>
      <c r="D45" s="76">
        <f>IFERROR(SUMIFS('Trace 2'!$Z$9:$Z$68,'Trace 2'!$C$9:$C$68,$A45)/SUMIFS('Trace 2'!$V$9:$V$68,'Trace 2'!$C$9:$C$68,$A45)*100000,"")</f>
        <v>134.4877236661437</v>
      </c>
      <c r="E45" s="76">
        <f>IFERROR(SUMIFS('Trace 3'!$Z$9:$Z$68,'Trace 3'!$C$9:$C$68,$A45)/SUMIFS('Trace 3'!$V$9:$V$68,'Trace 3'!$C$9:$C$68,$A45)*100000,"")</f>
        <v>134.48831855863295</v>
      </c>
    </row>
    <row r="46">
      <c r="A46" s="30" t="inlineStr">
        <is>
          <t>70-74</t>
        </is>
      </c>
      <c r="C46" s="76">
        <f>IFERROR(SUMIFS('Trace 1'!$Z$9:$Z$68,'Trace 1'!$C$9:$C$68,$A46)/SUMIFS('Trace 1'!$V$9:$V$68,'Trace 1'!$C$9:$C$68,$A46)*100000,"")</f>
        <v>156.28069433444796</v>
      </c>
      <c r="D46" s="76">
        <f>IFERROR(SUMIFS('Trace 2'!$Z$9:$Z$68,'Trace 2'!$C$9:$C$68,$A46)/SUMIFS('Trace 2'!$V$9:$V$68,'Trace 2'!$C$9:$C$68,$A46)*100000,"")</f>
        <v>165.64947743315477</v>
      </c>
      <c r="E46" s="76">
        <f>IFERROR(SUMIFS('Trace 3'!$Z$9:$Z$68,'Trace 3'!$C$9:$C$68,$A46)/SUMIFS('Trace 3'!$V$9:$V$68,'Trace 3'!$C$9:$C$68,$A46)*100000,"")</f>
        <v>165.64965432574343</v>
      </c>
    </row>
    <row r="47">
      <c r="A47" s="30" t="inlineStr">
        <is>
          <t>75-79</t>
        </is>
      </c>
      <c r="C47" s="76">
        <f>IFERROR(SUMIFS('Trace 1'!$Z$9:$Z$68,'Trace 1'!$C$9:$C$68,$A47)/SUMIFS('Trace 1'!$V$9:$V$68,'Trace 1'!$C$9:$C$68,$A47)*100000,"")</f>
        <v>183.04324738986082</v>
      </c>
      <c r="D47" s="76">
        <f>IFERROR(SUMIFS('Trace 2'!$Z$9:$Z$68,'Trace 2'!$C$9:$C$68,$A47)/SUMIFS('Trace 2'!$V$9:$V$68,'Trace 2'!$C$9:$C$68,$A47)*100000,"")</f>
        <v>142.20988488017503</v>
      </c>
      <c r="E47" s="76">
        <f>IFERROR(SUMIFS('Trace 3'!$Z$9:$Z$68,'Trace 3'!$C$9:$C$68,$A47)/SUMIFS('Trace 3'!$V$9:$V$68,'Trace 3'!$C$9:$C$68,$A47)*100000,"")</f>
        <v>142.20992130313496</v>
      </c>
    </row>
    <row r="48">
      <c r="A48" s="30" t="inlineStr">
        <is>
          <t>80-84</t>
        </is>
      </c>
      <c r="C48" s="76">
        <f>IFERROR(SUMIFS('Trace 1'!$Z$9:$Z$68,'Trace 1'!$C$9:$C$68,$A48)/SUMIFS('Trace 1'!$V$9:$V$68,'Trace 1'!$C$9:$C$68,$A48)*100000,"")</f>
        <v>205.8272432253107</v>
      </c>
      <c r="D48" s="76">
        <f>IFERROR(SUMIFS('Trace 2'!$Z$9:$Z$68,'Trace 2'!$C$9:$C$68,$A48)/SUMIFS('Trace 2'!$V$9:$V$68,'Trace 2'!$C$9:$C$68,$A48)*100000,"")</f>
        <v>200.28899843950154</v>
      </c>
      <c r="E48" s="76">
        <f>IFERROR(SUMIFS('Trace 3'!$Z$9:$Z$68,'Trace 3'!$C$9:$C$68,$A48)/SUMIFS('Trace 3'!$V$9:$V$68,'Trace 3'!$C$9:$C$68,$A48)*100000,"")</f>
        <v>200.2890108413019</v>
      </c>
    </row>
    <row r="49">
      <c r="A49" s="30" t="inlineStr">
        <is>
          <t>85-89</t>
        </is>
      </c>
      <c r="C49" s="76">
        <f>IFERROR(SUMIFS('Trace 1'!$Z$9:$Z$68,'Trace 1'!$C$9:$C$68,$A49)/SUMIFS('Trace 1'!$V$9:$V$68,'Trace 1'!$C$9:$C$68,$A49)*100000,"")</f>
        <v>210.4833007573306</v>
      </c>
      <c r="D49" s="76">
        <f>IFERROR(SUMIFS('Trace 2'!$Z$9:$Z$68,'Trace 2'!$C$9:$C$68,$A49)/SUMIFS('Trace 2'!$V$9:$V$68,'Trace 2'!$C$9:$C$68,$A49)*100000,"")</f>
        <v>209.75146835634698</v>
      </c>
      <c r="E49" s="76">
        <f>IFERROR(SUMIFS('Trace 3'!$Z$9:$Z$68,'Trace 3'!$C$9:$C$68,$A49)/SUMIFS('Trace 3'!$V$9:$V$68,'Trace 3'!$C$9:$C$68,$A49)*100000,"")</f>
        <v>209.7514715411272</v>
      </c>
    </row>
    <row r="50">
      <c r="A50" s="30" t="inlineStr">
        <is>
          <t>90-94</t>
        </is>
      </c>
      <c r="C50" s="76">
        <f>IFERROR(SUMIFS('Trace 1'!$Z$9:$Z$68,'Trace 1'!$C$9:$C$68,$A50)/SUMIFS('Trace 1'!$V$9:$V$68,'Trace 1'!$C$9:$C$68,$A50)*100000,"")</f>
        <v>194.7243138847285</v>
      </c>
      <c r="D50" s="76">
        <f>IFERROR(SUMIFS('Trace 2'!$Z$9:$Z$68,'Trace 2'!$C$9:$C$68,$A50)/SUMIFS('Trace 2'!$V$9:$V$68,'Trace 2'!$C$9:$C$68,$A50)*100000,"")</f>
        <v>194.6318469888037</v>
      </c>
      <c r="E50" s="76">
        <f>IFERROR(SUMIFS('Trace 3'!$Z$9:$Z$68,'Trace 3'!$C$9:$C$68,$A50)/SUMIFS('Trace 3'!$V$9:$V$68,'Trace 3'!$C$9:$C$68,$A50)*100000,"")</f>
        <v>194.63184772787332</v>
      </c>
    </row>
    <row r="51">
      <c r="A51" s="30" t="inlineStr">
        <is>
          <t>95-99</t>
        </is>
      </c>
      <c r="C51" s="76">
        <f>IFERROR(SUMIFS('Trace 1'!$Z$9:$Z$68,'Trace 1'!$C$9:$C$68,$A51)/SUMIFS('Trace 1'!$V$9:$V$68,'Trace 1'!$C$9:$C$68,$A51)*100000,"")</f>
        <v>168.83436800246324</v>
      </c>
      <c r="D51" s="76">
        <f>IFERROR(SUMIFS('Trace 2'!$Z$9:$Z$68,'Trace 2'!$C$9:$C$68,$A51)/SUMIFS('Trace 2'!$V$9:$V$68,'Trace 2'!$C$9:$C$68,$A51)*100000,"")</f>
        <v>168.82371279146116</v>
      </c>
      <c r="E51" s="76">
        <f>IFERROR(SUMIFS('Trace 3'!$Z$9:$Z$68,'Trace 3'!$C$9:$C$68,$A51)/SUMIFS('Trace 3'!$V$9:$V$68,'Trace 3'!$C$9:$C$68,$A51)*100000,"")</f>
        <v>168.82371295542075</v>
      </c>
    </row>
    <row r="52">
      <c r="A52" s="16" t="inlineStr">
        <is>
          <t>Empty cells: age groups the cohort never reaches.</t>
        </is>
      </c>
    </row>
  </sheetData>
  <mergeCells count="1">
    <mergeCell ref="A23:I23"/>
  </mergeCell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0070AD47"/>
    <outlinePr summaryBelow="1" summaryRight="1"/>
    <pageSetUpPr/>
  </sheetPr>
  <dimension ref="A1:L43"/>
  <sheetViews>
    <sheetView workbookViewId="0">
      <selection activeCell="A1" sqref="A1"/>
    </sheetView>
  </sheetViews>
  <sheetFormatPr baseColWidth="8" defaultRowHeight="15"/>
  <sheetData>
    <row r="1">
      <c r="A1" s="12" t="inlineStr">
        <is>
          <t>Charts</t>
        </is>
      </c>
    </row>
    <row r="2">
      <c r="A2" s="13" t="inlineStr">
        <is>
          <t>They update when you change the inputs.</t>
        </is>
      </c>
    </row>
    <row r="43">
      <c r="L43" s="13" t="inlineStr">
        <is>
          <t>In the Markov trace, the two cancer states look flat because they hold a few hundred people out of 100,000. The two charts above zoom in on them.</t>
        </is>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tabColor rgb="00808080"/>
    <outlinePr summaryBelow="1" summaryRight="1"/>
    <pageSetUpPr/>
  </sheetPr>
  <dimension ref="A1:I46"/>
  <sheetViews>
    <sheetView workbookViewId="0">
      <pane ySplit="5" topLeftCell="A6" activePane="bottomLeft" state="frozen"/>
      <selection pane="bottomLeft" activeCell="A1" sqref="A1"/>
    </sheetView>
  </sheetViews>
  <sheetFormatPr baseColWidth="8" defaultRowHeight="15"/>
  <cols>
    <col width="28" customWidth="1" min="1" max="1"/>
    <col width="9" customWidth="1" min="2" max="2"/>
    <col width="16" customWidth="1" min="3" max="3"/>
    <col width="58" customWidth="1" min="4" max="4"/>
    <col width="22" customWidth="1" min="5" max="5"/>
    <col width="40" customWidth="1" min="6" max="6"/>
    <col width="11" customWidth="1" min="7" max="7"/>
    <col width="11" customWidth="1" min="8" max="8"/>
    <col width="16" customWidth="1" min="9" max="9"/>
  </cols>
  <sheetData>
    <row r="1">
      <c r="A1" s="12" t="inlineStr">
        <is>
          <t>Interface</t>
        </is>
      </c>
    </row>
    <row r="2">
      <c r="A2" s="13" t="inlineStr">
        <is>
          <t>This sheet is for programs, not for learning the model: it tells code that runs the workbook (cea_workbook.py, THALASSA) which cells are its inputs and which are its results. You can ignore it.</t>
        </is>
      </c>
    </row>
    <row r="3">
      <c r="A3" s="16" t="inlineStr">
        <is>
          <t>Cell: blank means the named range called Name (Formulas &gt; Name Manager). Min and Max: blank means the limits of the cell's data validation. Labels: a named range with one label per row of a table. Label and Unit of the inputs are taken from the Inputs sheet.</t>
        </is>
      </c>
    </row>
    <row r="5">
      <c r="A5" s="19" t="inlineStr">
        <is>
          <t>Name</t>
        </is>
      </c>
      <c r="B5" s="19" t="inlineStr">
        <is>
          <t>Role</t>
        </is>
      </c>
      <c r="C5" s="19" t="inlineStr">
        <is>
          <t>Cell</t>
        </is>
      </c>
      <c r="D5" s="19" t="inlineStr">
        <is>
          <t>Label</t>
        </is>
      </c>
      <c r="E5" s="19" t="inlineStr">
        <is>
          <t>Unit</t>
        </is>
      </c>
      <c r="F5" s="19" t="inlineStr">
        <is>
          <t>Group</t>
        </is>
      </c>
      <c r="G5" s="19" t="inlineStr">
        <is>
          <t>Min</t>
        </is>
      </c>
      <c r="H5" s="19" t="inlineStr">
        <is>
          <t>Max</t>
        </is>
      </c>
      <c r="I5" s="19" t="inlineStr">
        <is>
          <t>Labels</t>
        </is>
      </c>
    </row>
    <row r="6">
      <c r="A6" s="13" t="inlineStr">
        <is>
          <t>cohort_size</t>
        </is>
      </c>
      <c r="B6" s="7" t="inlineStr">
        <is>
          <t>input</t>
        </is>
      </c>
      <c r="D6" s="70" t="str">
        <f>'Inputs'!A6</f>
        <v>Number of people in the cohort</v>
      </c>
      <c r="E6" s="70" t="str">
        <f>'Inputs'!C6</f>
        <v>people</v>
      </c>
      <c r="F6" s="7" t="inlineStr">
        <is>
          <t>The cohort</t>
        </is>
      </c>
      <c r="I6" s="13" t="n"/>
    </row>
    <row r="7">
      <c r="A7" s="13" t="inlineStr">
        <is>
          <t>start_age</t>
        </is>
      </c>
      <c r="B7" s="7" t="inlineStr">
        <is>
          <t>input</t>
        </is>
      </c>
      <c r="D7" s="70" t="str">
        <f>'Inputs'!A7</f>
        <v>Age of the cohort at the start</v>
      </c>
      <c r="E7" s="70" t="str">
        <f>'Inputs'!C7</f>
        <v>years</v>
      </c>
      <c r="F7" s="7" t="inlineStr">
        <is>
          <t>The cohort</t>
        </is>
      </c>
      <c r="I7" s="13" t="n"/>
    </row>
    <row r="8">
      <c r="A8" s="13" t="inlineStr">
        <is>
          <t>p_detect_symptoms</t>
        </is>
      </c>
      <c r="B8" s="7" t="inlineStr">
        <is>
          <t>input</t>
        </is>
      </c>
      <c r="D8" s="70" t="str">
        <f>'Inputs'!A11</f>
        <v>Early cancer found because of symptoms</v>
      </c>
      <c r="E8" s="70" t="str">
        <f>'Inputs'!C11</f>
        <v>per year</v>
      </c>
      <c r="F8" s="7" t="inlineStr">
        <is>
          <t>Natural history of the cancer (probabilities per year)</t>
        </is>
      </c>
      <c r="I8" s="13" t="n"/>
    </row>
    <row r="9">
      <c r="A9" s="13" t="inlineStr">
        <is>
          <t>p_progression</t>
        </is>
      </c>
      <c r="B9" s="7" t="inlineStr">
        <is>
          <t>input</t>
        </is>
      </c>
      <c r="D9" s="70" t="str">
        <f>'Inputs'!A12</f>
        <v>Undiagnosed early cancer becomes advanced</v>
      </c>
      <c r="E9" s="70" t="str">
        <f>'Inputs'!C12</f>
        <v>per year</v>
      </c>
      <c r="F9" s="7" t="inlineStr">
        <is>
          <t>Natural history of the cancer (probabilities per year)</t>
        </is>
      </c>
      <c r="I9" s="13" t="n"/>
    </row>
    <row r="10">
      <c r="A10" s="13" t="inlineStr">
        <is>
          <t>p_cure_early</t>
        </is>
      </c>
      <c r="B10" s="7" t="inlineStr">
        <is>
          <t>input</t>
        </is>
      </c>
      <c r="D10" s="70" t="str">
        <f>'Inputs'!A13</f>
        <v>Treatment of an early cancer cures it</v>
      </c>
      <c r="E10" s="70" t="str">
        <f>'Inputs'!C13</f>
        <v>probability</v>
      </c>
      <c r="F10" s="7" t="inlineStr">
        <is>
          <t>Natural history of the cancer (probabilities per year)</t>
        </is>
      </c>
      <c r="I10" s="13" t="n"/>
    </row>
    <row r="11">
      <c r="A11" s="13" t="inlineStr">
        <is>
          <t>p_death_advanced</t>
        </is>
      </c>
      <c r="B11" s="7" t="inlineStr">
        <is>
          <t>input</t>
        </is>
      </c>
      <c r="D11" s="70" t="str">
        <f>'Inputs'!A14</f>
        <v>Death from advanced cancer</v>
      </c>
      <c r="E11" s="70" t="str">
        <f>'Inputs'!C14</f>
        <v>per year</v>
      </c>
      <c r="F11" s="7" t="inlineStr">
        <is>
          <t>Natural history of the cancer (probabilities per year)</t>
        </is>
      </c>
      <c r="I11" s="13" t="n"/>
    </row>
    <row r="12">
      <c r="A12" s="13" t="inlineStr">
        <is>
          <t>screen_participation</t>
        </is>
      </c>
      <c r="B12" s="7" t="inlineStr">
        <is>
          <t>input</t>
        </is>
      </c>
      <c r="D12" s="70" t="str">
        <f>'Inputs'!A18</f>
        <v>People who take the test when invited</v>
      </c>
      <c r="E12" s="70" t="str">
        <f>'Inputs'!C18</f>
        <v>proportion</v>
      </c>
      <c r="F12" s="7" t="inlineStr">
        <is>
          <t>Screening test</t>
        </is>
      </c>
      <c r="I12" s="13" t="n"/>
    </row>
    <row r="13">
      <c r="A13" s="13" t="inlineStr">
        <is>
          <t>screen_sensitivity</t>
        </is>
      </c>
      <c r="B13" s="7" t="inlineStr">
        <is>
          <t>input</t>
        </is>
      </c>
      <c r="D13" s="70" t="str">
        <f>'Inputs'!A19</f>
        <v>Sensitivity for early cancer</v>
      </c>
      <c r="E13" s="70" t="str">
        <f>'Inputs'!C19</f>
        <v>proportion</v>
      </c>
      <c r="F13" s="7" t="inlineStr">
        <is>
          <t>Screening test</t>
        </is>
      </c>
      <c r="I13" s="13" t="n"/>
    </row>
    <row r="14">
      <c r="A14" s="13" t="inlineStr">
        <is>
          <t>screen_specificity</t>
        </is>
      </c>
      <c r="B14" s="7" t="inlineStr">
        <is>
          <t>input</t>
        </is>
      </c>
      <c r="D14" s="70" t="str">
        <f>'Inputs'!A20</f>
        <v>Specificity</v>
      </c>
      <c r="E14" s="70" t="str">
        <f>'Inputs'!C20</f>
        <v>proportion</v>
      </c>
      <c r="F14" s="7" t="inlineStr">
        <is>
          <t>Screening test</t>
        </is>
      </c>
      <c r="I14" s="13" t="n"/>
    </row>
    <row r="15">
      <c r="A15" s="13" t="inlineStr">
        <is>
          <t>cost_screen_test</t>
        </is>
      </c>
      <c r="B15" s="7" t="inlineStr">
        <is>
          <t>input</t>
        </is>
      </c>
      <c r="D15" s="70" t="str">
        <f>'Inputs'!A24</f>
        <v>One screening test</v>
      </c>
      <c r="E15" s="70" t="str">
        <f>'Inputs'!C24</f>
        <v>€ per test</v>
      </c>
      <c r="F15" s="7" t="inlineStr">
        <is>
          <t>Costs (€)</t>
        </is>
      </c>
      <c r="I15" s="13" t="n"/>
    </row>
    <row r="16">
      <c r="A16" s="13" t="inlineStr">
        <is>
          <t>cost_followup_test</t>
        </is>
      </c>
      <c r="B16" s="7" t="inlineStr">
        <is>
          <t>input</t>
        </is>
      </c>
      <c r="D16" s="70" t="str">
        <f>'Inputs'!A25</f>
        <v>One follow-up diagnostic test after a positive screen</v>
      </c>
      <c r="E16" s="70" t="str">
        <f>'Inputs'!C25</f>
        <v>€ per follow-up test</v>
      </c>
      <c r="F16" s="7" t="inlineStr">
        <is>
          <t>Costs (€)</t>
        </is>
      </c>
      <c r="I16" s="13" t="n"/>
    </row>
    <row r="17">
      <c r="A17" s="13" t="inlineStr">
        <is>
          <t>cost_early_treatment</t>
        </is>
      </c>
      <c r="B17" s="7" t="inlineStr">
        <is>
          <t>input</t>
        </is>
      </c>
      <c r="D17" s="70" t="str">
        <f>'Inputs'!A26</f>
        <v>Treating an early cancer</v>
      </c>
      <c r="E17" s="70" t="str">
        <f>'Inputs'!C26</f>
        <v>€ per cancer, once</v>
      </c>
      <c r="F17" s="7" t="inlineStr">
        <is>
          <t>Costs (€)</t>
        </is>
      </c>
      <c r="I17" s="13" t="n"/>
    </row>
    <row r="18">
      <c r="A18" s="13" t="inlineStr">
        <is>
          <t>cost_advanced_year</t>
        </is>
      </c>
      <c r="B18" s="7" t="inlineStr">
        <is>
          <t>input</t>
        </is>
      </c>
      <c r="D18" s="70" t="str">
        <f>'Inputs'!A27</f>
        <v>Treating advanced cancer</v>
      </c>
      <c r="E18" s="70" t="str">
        <f>'Inputs'!C27</f>
        <v>€ per person per year</v>
      </c>
      <c r="F18" s="7" t="inlineStr">
        <is>
          <t>Costs (€)</t>
        </is>
      </c>
      <c r="I18" s="13" t="n"/>
    </row>
    <row r="19">
      <c r="A19" s="13" t="inlineStr">
        <is>
          <t>u_healthy</t>
        </is>
      </c>
      <c r="B19" s="7" t="inlineStr">
        <is>
          <t>input</t>
        </is>
      </c>
      <c r="D19" s="70" t="str">
        <f>'Inputs'!A31</f>
        <v>A year without cancer</v>
      </c>
      <c r="E19" s="70" t="str">
        <f>'Inputs'!C31</f>
        <v>utility</v>
      </c>
      <c r="F19" s="7" t="inlineStr">
        <is>
          <t>Quality of life (utility weights: 0 = dead, 1 = full health)</t>
        </is>
      </c>
      <c r="I19" s="13" t="n"/>
    </row>
    <row r="20">
      <c r="A20" s="13" t="inlineStr">
        <is>
          <t>u_early</t>
        </is>
      </c>
      <c r="B20" s="7" t="inlineStr">
        <is>
          <t>input</t>
        </is>
      </c>
      <c r="D20" s="70" t="str">
        <f>'Inputs'!A32</f>
        <v>A year with undiagnosed early cancer</v>
      </c>
      <c r="E20" s="70" t="str">
        <f>'Inputs'!C32</f>
        <v>utility</v>
      </c>
      <c r="F20" s="7" t="inlineStr">
        <is>
          <t>Quality of life (utility weights: 0 = dead, 1 = full health)</t>
        </is>
      </c>
      <c r="I20" s="13" t="n"/>
    </row>
    <row r="21">
      <c r="A21" s="13" t="inlineStr">
        <is>
          <t>u_advanced</t>
        </is>
      </c>
      <c r="B21" s="7" t="inlineStr">
        <is>
          <t>input</t>
        </is>
      </c>
      <c r="D21" s="70" t="str">
        <f>'Inputs'!A33</f>
        <v>A year with advanced cancer</v>
      </c>
      <c r="E21" s="70" t="str">
        <f>'Inputs'!C33</f>
        <v>utility</v>
      </c>
      <c r="F21" s="7" t="inlineStr">
        <is>
          <t>Quality of life (utility weights: 0 = dead, 1 = full health)</t>
        </is>
      </c>
      <c r="I21" s="13" t="n"/>
    </row>
    <row r="22">
      <c r="A22" s="13" t="inlineStr">
        <is>
          <t>disc_costs</t>
        </is>
      </c>
      <c r="B22" s="7" t="inlineStr">
        <is>
          <t>input</t>
        </is>
      </c>
      <c r="D22" s="70" t="str">
        <f>'Inputs'!A37</f>
        <v>Discount rate for costs</v>
      </c>
      <c r="E22" s="70" t="str">
        <f>'Inputs'!C37</f>
        <v>per year</v>
      </c>
      <c r="F22" s="7" t="inlineStr">
        <is>
          <t>Discounting and the decision rule</t>
        </is>
      </c>
      <c r="I22" s="13" t="n"/>
    </row>
    <row r="23">
      <c r="A23" s="13" t="inlineStr">
        <is>
          <t>disc_effects</t>
        </is>
      </c>
      <c r="B23" s="7" t="inlineStr">
        <is>
          <t>input</t>
        </is>
      </c>
      <c r="D23" s="70" t="str">
        <f>'Inputs'!A38</f>
        <v>Discount rate for health effects</v>
      </c>
      <c r="E23" s="70" t="str">
        <f>'Inputs'!C38</f>
        <v>per year</v>
      </c>
      <c r="F23" s="7" t="inlineStr">
        <is>
          <t>Discounting and the decision rule</t>
        </is>
      </c>
      <c r="I23" s="13" t="n"/>
    </row>
    <row r="24">
      <c r="A24" s="13" t="inlineStr">
        <is>
          <t>wtp</t>
        </is>
      </c>
      <c r="B24" s="7" t="inlineStr">
        <is>
          <t>input</t>
        </is>
      </c>
      <c r="D24" s="70" t="str">
        <f>'Inputs'!A39</f>
        <v>Willingness to pay per QALY gained</v>
      </c>
      <c r="E24" s="70" t="str">
        <f>'Inputs'!C39</f>
        <v>€ per QALY</v>
      </c>
      <c r="F24" s="7" t="inlineStr">
        <is>
          <t>Discounting and the decision rule</t>
        </is>
      </c>
      <c r="I24" s="13" t="n"/>
    </row>
    <row r="25">
      <c r="A25" s="13" t="inlineStr">
        <is>
          <t>p_background_death</t>
        </is>
      </c>
      <c r="B25" s="7" t="inlineStr">
        <is>
          <t>input</t>
        </is>
      </c>
      <c r="D25" s="70" t="str">
        <f>'Inputs'!C42</f>
        <v>Death from other causes</v>
      </c>
      <c r="E25" s="7" t="inlineStr">
        <is>
          <t>per year</t>
        </is>
      </c>
      <c r="F25" s="7" t="inlineStr">
        <is>
          <t>Probabilities that depend on age (per year)</t>
        </is>
      </c>
      <c r="I25" s="13" t="inlineStr">
        <is>
          <t>age_band_label</t>
        </is>
      </c>
    </row>
    <row r="26">
      <c r="A26" s="13" t="inlineStr">
        <is>
          <t>p_cancer_onset</t>
        </is>
      </c>
      <c r="B26" s="7" t="inlineStr">
        <is>
          <t>input</t>
        </is>
      </c>
      <c r="D26" s="70" t="str">
        <f>'Inputs'!D42</f>
        <v>Cancer starts (healthy people)</v>
      </c>
      <c r="E26" s="7" t="inlineStr">
        <is>
          <t>per year</t>
        </is>
      </c>
      <c r="F26" s="7" t="inlineStr">
        <is>
          <t>Probabilities that depend on age (per year)</t>
        </is>
      </c>
      <c r="I26" s="13" t="inlineStr">
        <is>
          <t>age_band_label</t>
        </is>
      </c>
    </row>
    <row r="27">
      <c r="A27" s="13" t="inlineStr">
        <is>
          <t>strategy_name</t>
        </is>
      </c>
      <c r="B27" s="7" t="inlineStr">
        <is>
          <t>input</t>
        </is>
      </c>
      <c r="D27" s="70" t="str">
        <f>'Inputs'!A58</f>
        <v>Strategy name</v>
      </c>
      <c r="E27" s="7" t="n"/>
      <c r="F27" s="7" t="inlineStr">
        <is>
          <t>The strategies being compared</t>
        </is>
      </c>
      <c r="I27" s="13" t="n"/>
    </row>
    <row r="28">
      <c r="A28" s="13" t="inlineStr">
        <is>
          <t>strategy_screens</t>
        </is>
      </c>
      <c r="B28" s="7" t="inlineStr">
        <is>
          <t>input</t>
        </is>
      </c>
      <c r="D28" s="70" t="str">
        <f>'Inputs'!C58</f>
        <v>Screens? (Yes/No)</v>
      </c>
      <c r="E28" s="7" t="n"/>
      <c r="F28" s="7" t="inlineStr">
        <is>
          <t>The strategies being compared</t>
        </is>
      </c>
      <c r="I28" s="13" t="n"/>
    </row>
    <row r="29">
      <c r="A29" s="13" t="inlineStr">
        <is>
          <t>strategy_first_age</t>
        </is>
      </c>
      <c r="B29" s="7" t="inlineStr">
        <is>
          <t>input</t>
        </is>
      </c>
      <c r="D29" s="70" t="str">
        <f>'Inputs'!D58</f>
        <v>First age screened</v>
      </c>
      <c r="E29" s="7" t="inlineStr">
        <is>
          <t>years</t>
        </is>
      </c>
      <c r="F29" s="7" t="inlineStr">
        <is>
          <t>The strategies being compared</t>
        </is>
      </c>
      <c r="I29" s="13" t="n"/>
    </row>
    <row r="30">
      <c r="A30" s="13" t="inlineStr">
        <is>
          <t>strategy_last_age</t>
        </is>
      </c>
      <c r="B30" s="7" t="inlineStr">
        <is>
          <t>input</t>
        </is>
      </c>
      <c r="D30" s="70" t="str">
        <f>'Inputs'!E58</f>
        <v>Last age screened</v>
      </c>
      <c r="E30" s="7" t="inlineStr">
        <is>
          <t>years</t>
        </is>
      </c>
      <c r="F30" s="7" t="inlineStr">
        <is>
          <t>The strategies being compared</t>
        </is>
      </c>
      <c r="I30" s="13" t="n"/>
    </row>
    <row r="31">
      <c r="A31" s="13" t="inlineStr">
        <is>
          <t>strategy_description</t>
        </is>
      </c>
      <c r="B31" s="7" t="inlineStr">
        <is>
          <t>input</t>
        </is>
      </c>
      <c r="D31" s="70" t="str">
        <f>'Inputs'!F58</f>
        <v>Description</v>
      </c>
      <c r="E31" s="7" t="n"/>
      <c r="F31" s="7" t="inlineStr">
        <is>
          <t>The strategies being compared</t>
        </is>
      </c>
      <c r="I31" s="13" t="n"/>
    </row>
    <row r="32">
      <c r="A32" s="13" t="inlineStr">
        <is>
          <t>out_check</t>
        </is>
      </c>
      <c r="B32" s="7" t="inlineStr">
        <is>
          <t>output</t>
        </is>
      </c>
      <c r="D32" s="7" t="inlineStr">
        <is>
          <t>Model checks ("All OK" when every check passes)</t>
        </is>
      </c>
      <c r="E32" s="7" t="n"/>
      <c r="F32" s="7" t="inlineStr">
        <is>
          <t>Results</t>
        </is>
      </c>
      <c r="I32" s="13" t="n"/>
    </row>
    <row r="33">
      <c r="A33" s="13" t="inlineStr">
        <is>
          <t>out_best</t>
        </is>
      </c>
      <c r="B33" s="7" t="inlineStr">
        <is>
          <t>output</t>
        </is>
      </c>
      <c r="D33" s="7" t="inlineStr">
        <is>
          <t>Conclusion: the cost-effective strategy</t>
        </is>
      </c>
      <c r="E33" s="7" t="n"/>
      <c r="F33" s="7" t="inlineStr">
        <is>
          <t>Results</t>
        </is>
      </c>
      <c r="I33" s="13" t="n"/>
    </row>
    <row r="34">
      <c r="A34" s="13" t="inlineStr">
        <is>
          <t>out_strategy</t>
        </is>
      </c>
      <c r="B34" s="7" t="inlineStr">
        <is>
          <t>output</t>
        </is>
      </c>
      <c r="D34" s="7" t="inlineStr">
        <is>
          <t>Strategy, one row per strategy</t>
        </is>
      </c>
      <c r="E34" s="7" t="n"/>
      <c r="F34" s="7" t="inlineStr">
        <is>
          <t>Results</t>
        </is>
      </c>
      <c r="I34" s="13" t="n"/>
    </row>
    <row r="35">
      <c r="A35" s="13" t="inlineStr">
        <is>
          <t>out_cost</t>
        </is>
      </c>
      <c r="B35" s="7" t="inlineStr">
        <is>
          <t>output</t>
        </is>
      </c>
      <c r="D35" s="7" t="inlineStr">
        <is>
          <t>Cost per person (discounted)</t>
        </is>
      </c>
      <c r="E35" s="7" t="inlineStr">
        <is>
          <t>€</t>
        </is>
      </c>
      <c r="F35" s="7" t="inlineStr">
        <is>
          <t>Results</t>
        </is>
      </c>
      <c r="I35" s="13" t="n"/>
    </row>
    <row r="36">
      <c r="A36" s="13" t="inlineStr">
        <is>
          <t>out_qalys</t>
        </is>
      </c>
      <c r="B36" s="7" t="inlineStr">
        <is>
          <t>output</t>
        </is>
      </c>
      <c r="D36" s="7" t="inlineStr">
        <is>
          <t>QALYs per person (discounted)</t>
        </is>
      </c>
      <c r="E36" s="7" t="inlineStr">
        <is>
          <t>QALYs</t>
        </is>
      </c>
      <c r="F36" s="7" t="inlineStr">
        <is>
          <t>Results</t>
        </is>
      </c>
      <c r="I36" s="13" t="n"/>
    </row>
    <row r="37">
      <c r="A37" s="13" t="inlineStr">
        <is>
          <t>out_life_years</t>
        </is>
      </c>
      <c r="B37" s="7" t="inlineStr">
        <is>
          <t>output</t>
        </is>
      </c>
      <c r="D37" s="7" t="inlineStr">
        <is>
          <t>Life years per person (discounted)</t>
        </is>
      </c>
      <c r="E37" s="7" t="inlineStr">
        <is>
          <t>years</t>
        </is>
      </c>
      <c r="F37" s="7" t="inlineStr">
        <is>
          <t>Results</t>
        </is>
      </c>
      <c r="I37" s="13" t="n"/>
    </row>
    <row r="38">
      <c r="A38" s="13" t="inlineStr">
        <is>
          <t>out_life_years_undiscounted</t>
        </is>
      </c>
      <c r="B38" s="7" t="inlineStr">
        <is>
          <t>output</t>
        </is>
      </c>
      <c r="D38" s="7" t="inlineStr">
        <is>
          <t>Life years per person (not discounted)</t>
        </is>
      </c>
      <c r="E38" s="7" t="inlineStr">
        <is>
          <t>years</t>
        </is>
      </c>
      <c r="F38" s="7" t="inlineStr">
        <is>
          <t>Results</t>
        </is>
      </c>
      <c r="I38" s="13" t="n"/>
    </row>
    <row r="39">
      <c r="A39" s="13" t="inlineStr">
        <is>
          <t>out_nmb</t>
        </is>
      </c>
      <c r="B39" s="7" t="inlineStr">
        <is>
          <t>output</t>
        </is>
      </c>
      <c r="D39" s="7" t="inlineStr">
        <is>
          <t>Net monetary benefit per person</t>
        </is>
      </c>
      <c r="E39" s="7" t="inlineStr">
        <is>
          <t>€</t>
        </is>
      </c>
      <c r="F39" s="7" t="inlineStr">
        <is>
          <t>Results</t>
        </is>
      </c>
      <c r="I39" s="13" t="n"/>
    </row>
    <row r="40">
      <c r="A40" s="13" t="inlineStr">
        <is>
          <t>out_icer_vs_first</t>
        </is>
      </c>
      <c r="B40" s="7" t="inlineStr">
        <is>
          <t>output</t>
        </is>
      </c>
      <c r="D40" s="7" t="inlineStr">
        <is>
          <t>ICER against strategy 1</t>
        </is>
      </c>
      <c r="E40" s="7" t="inlineStr">
        <is>
          <t>€ per QALY</t>
        </is>
      </c>
      <c r="F40" s="7" t="inlineStr">
        <is>
          <t>Results</t>
        </is>
      </c>
      <c r="I40" s="13" t="n"/>
    </row>
    <row r="41">
      <c r="A41" s="13" t="inlineStr">
        <is>
          <t>out_frontier_strategy</t>
        </is>
      </c>
      <c r="B41" s="7" t="inlineStr">
        <is>
          <t>output</t>
        </is>
      </c>
      <c r="D41" s="7" t="inlineStr">
        <is>
          <t>Strategies sorted by cost (efficiency frontier)</t>
        </is>
      </c>
      <c r="E41" s="7" t="n"/>
      <c r="F41" s="7" t="inlineStr">
        <is>
          <t>Results</t>
        </is>
      </c>
      <c r="I41" s="13" t="n"/>
    </row>
    <row r="42">
      <c r="A42" s="13" t="inlineStr">
        <is>
          <t>out_frontier_status</t>
        </is>
      </c>
      <c r="B42" s="7" t="inlineStr">
        <is>
          <t>output</t>
        </is>
      </c>
      <c r="D42" s="7" t="inlineStr">
        <is>
          <t>Status on the efficiency frontier</t>
        </is>
      </c>
      <c r="E42" s="7" t="n"/>
      <c r="F42" s="7" t="inlineStr">
        <is>
          <t>Results</t>
        </is>
      </c>
      <c r="I42" s="13" t="n"/>
    </row>
    <row r="43">
      <c r="A43" s="13" t="inlineStr">
        <is>
          <t>out_frontier_icer</t>
        </is>
      </c>
      <c r="B43" s="7" t="inlineStr">
        <is>
          <t>output</t>
        </is>
      </c>
      <c r="D43" s="7" t="inlineStr">
        <is>
          <t>ICER against the previous strategy on the frontier</t>
        </is>
      </c>
      <c r="E43" s="7" t="inlineStr">
        <is>
          <t>€ per QALY</t>
        </is>
      </c>
      <c r="F43" s="7" t="inlineStr">
        <is>
          <t>Results</t>
        </is>
      </c>
      <c r="I43" s="13" t="n"/>
    </row>
    <row r="44">
      <c r="A44" s="13" t="inlineStr">
        <is>
          <t>out_cancer_deaths</t>
        </is>
      </c>
      <c r="B44" s="7" t="inlineStr">
        <is>
          <t>output</t>
        </is>
      </c>
      <c r="D44" s="7" t="inlineStr">
        <is>
          <t>Cancer deaths over the lifetime</t>
        </is>
      </c>
      <c r="E44" s="7" t="inlineStr">
        <is>
          <t>per 100,000 people</t>
        </is>
      </c>
      <c r="F44" s="7" t="inlineStr">
        <is>
          <t>Results</t>
        </is>
      </c>
      <c r="I44" s="13" t="n"/>
    </row>
    <row r="45">
      <c r="A45" s="13" t="inlineStr">
        <is>
          <t>out_diagnoses</t>
        </is>
      </c>
      <c r="B45" s="7" t="inlineStr">
        <is>
          <t>output</t>
        </is>
      </c>
      <c r="D45" s="7" t="inlineStr">
        <is>
          <t>Cancers diagnosed early and advanced (one row per strategy)</t>
        </is>
      </c>
      <c r="E45" s="7" t="inlineStr">
        <is>
          <t>per 100,000 people</t>
        </is>
      </c>
      <c r="F45" s="7" t="inlineStr">
        <is>
          <t>Results</t>
        </is>
      </c>
      <c r="I45" s="13" t="n"/>
    </row>
    <row r="46">
      <c r="A46" s="13" t="inlineStr">
        <is>
          <t>out_incidence</t>
        </is>
      </c>
      <c r="B46" s="7" t="inlineStr">
        <is>
          <t>output</t>
        </is>
      </c>
      <c r="D46" s="7" t="inlineStr">
        <is>
          <t>Cancers diagnosed by age group (one row per age group, one column per strategy)</t>
        </is>
      </c>
      <c r="E46" s="7" t="inlineStr">
        <is>
          <t>per 100,000 person-years</t>
        </is>
      </c>
      <c r="F46" s="7" t="inlineStr">
        <is>
          <t>Results</t>
        </is>
      </c>
      <c r="I46" s="1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2026-10-04T22:07:00Z</dcterms:created>
  <dcterms:modified xsi:type="dcterms:W3CDTF">2026-10-04T22:07:00Z</dcterms:modified>
</cp:coreProperties>
</file>